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1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1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drawings/drawing1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drawings/drawing19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drawings/drawing20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qdc.sharepoint.com/sites/TESTMENU/Documents partages/General/"/>
    </mc:Choice>
  </mc:AlternateContent>
  <xr:revisionPtr revIDLastSave="992" documentId="13_ncr:1_{73138386-8094-4949-A672-8F4FAA6E2D56}" xr6:coauthVersionLast="47" xr6:coauthVersionMax="47" xr10:uidLastSave="{18B677AB-6757-4CBF-AFD4-73CED81988A3}"/>
  <bookViews>
    <workbookView xWindow="-120" yWindow="-120" windowWidth="29040" windowHeight="15840" firstSheet="10" activeTab="17" xr2:uid="{00446008-5659-4D44-BBCF-A8215C5EA648}"/>
  </bookViews>
  <sheets>
    <sheet name="Dérivés (ingestion) (O)" sheetId="3" state="hidden" r:id="rId1"/>
    <sheet name="Comment ça marche" sheetId="9" r:id="rId2"/>
    <sheet name="navigateur" sheetId="28" r:id="rId3"/>
    <sheet name="77004-Lévis" sheetId="2" r:id="rId4"/>
    <sheet name="77005-Bouvier" sheetId="17" r:id="rId5"/>
    <sheet name="77007-Val-Bélair" sheetId="18" r:id="rId6"/>
    <sheet name="77008-St-Nicolas" sheetId="19" r:id="rId7"/>
    <sheet name="77010-Ste-Foy" sheetId="20" r:id="rId8"/>
    <sheet name="77032-Donnacona" sheetId="53" r:id="rId9"/>
    <sheet name="77036-La Malbaie" sheetId="21" r:id="rId10"/>
    <sheet name="77037-St-George" sheetId="22" r:id="rId11"/>
    <sheet name="77041-RDL" sheetId="49" r:id="rId12"/>
    <sheet name="77044-Les Saules" sheetId="23" r:id="rId13"/>
    <sheet name="77052-Beauport" sheetId="29" r:id="rId14"/>
    <sheet name="77053-Thetford" sheetId="50" r:id="rId15"/>
    <sheet name="77056-Ste-Anne" sheetId="24" r:id="rId16"/>
    <sheet name="77074-Vieux-Québec" sheetId="25" r:id="rId17"/>
    <sheet name="77083-Neuchâtel" sheetId="26" r:id="rId18"/>
    <sheet name="77090-Quatres-Bourgeois" sheetId="27" r:id="rId19"/>
    <sheet name="77096-Aylmer" sheetId="52" r:id="rId20"/>
    <sheet name="Base données formats" sheetId="7" state="hidden" r:id="rId21"/>
    <sheet name="Base Dérivés" sheetId="5" state="hidden" r:id="rId22"/>
  </sheets>
  <externalReferences>
    <externalReference r:id="rId23"/>
  </externalReferences>
  <definedNames>
    <definedName name="_xlnm._FilterDatabase" localSheetId="3" hidden="1">'77004-Lévis'!#REF!</definedName>
    <definedName name="_xlnm._FilterDatabase" localSheetId="4" hidden="1">'77005-Bouvier'!#REF!</definedName>
    <definedName name="_xlnm._FilterDatabase" localSheetId="5" hidden="1">'77007-Val-Bélair'!#REF!</definedName>
    <definedName name="_xlnm._FilterDatabase" localSheetId="6" hidden="1">'77008-St-Nicolas'!#REF!</definedName>
    <definedName name="_xlnm._FilterDatabase" localSheetId="7" hidden="1">'77010-Ste-Foy'!#REF!</definedName>
    <definedName name="_xlnm._FilterDatabase" localSheetId="8" hidden="1">'77032-Donnacona'!#REF!</definedName>
    <definedName name="_xlnm._FilterDatabase" localSheetId="9" hidden="1">'77036-La Malbaie'!#REF!</definedName>
    <definedName name="_xlnm._FilterDatabase" localSheetId="10" hidden="1">'77037-St-George'!#REF!</definedName>
    <definedName name="_xlnm._FilterDatabase" localSheetId="11" hidden="1">'77041-RDL'!#REF!</definedName>
    <definedName name="_xlnm._FilterDatabase" localSheetId="12" hidden="1">'77044-Les Saules'!#REF!</definedName>
    <definedName name="_xlnm._FilterDatabase" localSheetId="13" hidden="1">'77052-Beauport'!#REF!</definedName>
    <definedName name="_xlnm._FilterDatabase" localSheetId="14" hidden="1">'77053-Thetford'!#REF!</definedName>
    <definedName name="_xlnm._FilterDatabase" localSheetId="15" hidden="1">'77056-Ste-Anne'!#REF!</definedName>
    <definedName name="_xlnm._FilterDatabase" localSheetId="16" hidden="1">'77074-Vieux-Québec'!#REF!</definedName>
    <definedName name="_xlnm._FilterDatabase" localSheetId="17" hidden="1">'77083-Neuchâtel'!#REF!</definedName>
    <definedName name="_xlnm._FilterDatabase" localSheetId="18" hidden="1">'77090-Quatres-Bourgeois'!#REF!</definedName>
    <definedName name="_xlnm._FilterDatabase" localSheetId="19" hidden="1">'77096-Aylmer'!#REF!</definedName>
    <definedName name="_xlnm._FilterDatabase" localSheetId="20" hidden="1">'Base données formats'!#REF!</definedName>
    <definedName name="_xlnm._FilterDatabase" localSheetId="0" hidden="1">'Dérivés (ingestion) (O)'!#REF!</definedName>
    <definedName name="atomiseurhybride1">#REF!</definedName>
    <definedName name="atomiseurindica1">#REF!</definedName>
    <definedName name="atomiseursativa1">#REF!</definedName>
    <definedName name="Base15g">'Base données formats'!$B$3:$K$51</definedName>
    <definedName name="Base1g">'Base données formats'!#REF!</definedName>
    <definedName name="base28g">'Base données formats'!#REF!</definedName>
    <definedName name="Basehash">#REF!</definedName>
    <definedName name="Boissons" localSheetId="4">Tableau9[#All]</definedName>
    <definedName name="Boissons" localSheetId="5">Tableau9[#All]</definedName>
    <definedName name="Boissons" localSheetId="6">Tableau9[#All]</definedName>
    <definedName name="Boissons" localSheetId="7">Tableau9[#All]</definedName>
    <definedName name="Boissons" localSheetId="8">Tableau9[#All]</definedName>
    <definedName name="Boissons" localSheetId="9">Tableau9[#All]</definedName>
    <definedName name="Boissons" localSheetId="10">Tableau9[#All]</definedName>
    <definedName name="Boissons" localSheetId="11">Tableau9[#All]</definedName>
    <definedName name="Boissons" localSheetId="12">Tableau9[#All]</definedName>
    <definedName name="Boissons" localSheetId="13">Tableau9[#All]</definedName>
    <definedName name="Boissons" localSheetId="14">Tableau9[#All]</definedName>
    <definedName name="Boissons" localSheetId="15">Tableau9[#All]</definedName>
    <definedName name="Boissons" localSheetId="16">Tableau9[#All]</definedName>
    <definedName name="Boissons" localSheetId="17">Tableau9[#All]</definedName>
    <definedName name="Boissons" localSheetId="18">Tableau9[#All]</definedName>
    <definedName name="Boissons" localSheetId="19">Tableau9[#All]</definedName>
    <definedName name="Boissons">Tableau9[#All]</definedName>
    <definedName name="boissons2" localSheetId="6">Tableau9[#All]</definedName>
    <definedName name="boissons2" localSheetId="7">Tableau9[#All]</definedName>
    <definedName name="boissons2" localSheetId="8">Tableau9[#All]</definedName>
    <definedName name="boissons2" localSheetId="9">Tableau9[#All]</definedName>
    <definedName name="boissons2" localSheetId="10">Tableau9[#All]</definedName>
    <definedName name="boissons2" localSheetId="11">Tableau9[#All]</definedName>
    <definedName name="boissons2" localSheetId="12">Tableau9[#All]</definedName>
    <definedName name="boissons2" localSheetId="13">Tableau9[#All]</definedName>
    <definedName name="boissons2" localSheetId="14">Tableau9[#All]</definedName>
    <definedName name="boissons2" localSheetId="15">Tableau9[#All]</definedName>
    <definedName name="boissons2" localSheetId="16">Tableau9[#All]</definedName>
    <definedName name="boissons2" localSheetId="17">Tableau9[#All]</definedName>
    <definedName name="boissons2" localSheetId="18">Tableau9[#All]</definedName>
    <definedName name="boissons2" localSheetId="19">Tableau9[#All]</definedName>
    <definedName name="boissons2">Tableau9[#All]</definedName>
    <definedName name="fleurs1g">#REF!</definedName>
    <definedName name="formatrecto" localSheetId="4">'77005-Bouvier'!$A$1:$G$28</definedName>
    <definedName name="formatrecto" localSheetId="5">'77007-Val-Bélair'!$A$1:$G$28</definedName>
    <definedName name="formatrecto" localSheetId="6">'77008-St-Nicolas'!$A$1:$G$37</definedName>
    <definedName name="formatrecto" localSheetId="7">'77010-Ste-Foy'!$A$1:$G$28</definedName>
    <definedName name="formatrecto" localSheetId="8">'77032-Donnacona'!$A$1:$G$39</definedName>
    <definedName name="formatrecto" localSheetId="9">'77036-La Malbaie'!$A$1:$G$28</definedName>
    <definedName name="formatrecto" localSheetId="10">'77037-St-George'!$A$1:$G$28</definedName>
    <definedName name="formatrecto" localSheetId="11">'77041-RDL'!$A$1:$G$28</definedName>
    <definedName name="formatrecto" localSheetId="12">'77044-Les Saules'!$A$1:$G$30</definedName>
    <definedName name="formatrecto" localSheetId="13">'77052-Beauport'!$A$1:$G$37</definedName>
    <definedName name="formatrecto" localSheetId="14">'77053-Thetford'!$A$1:$G$38</definedName>
    <definedName name="formatrecto" localSheetId="15">'77056-Ste-Anne'!$A$1:$G$28</definedName>
    <definedName name="formatrecto" localSheetId="16">'77074-Vieux-Québec'!$A$1:$G$38</definedName>
    <definedName name="formatrecto" localSheetId="17">'77083-Neuchâtel'!$A$1:$G$66</definedName>
    <definedName name="formatrecto" localSheetId="18">'77090-Quatres-Bourgeois'!$A$1:$G$27</definedName>
    <definedName name="formatrecto" localSheetId="19">'77096-Aylmer'!$A$1:$G$27</definedName>
    <definedName name="formatrecto">'77004-Lévis'!$A$1:$G$33</definedName>
    <definedName name="formatverso" localSheetId="4">'77005-Bouvier'!$A$29:$G$40</definedName>
    <definedName name="formatverso" localSheetId="5">'77007-Val-Bélair'!$A$29:$G$40</definedName>
    <definedName name="formatverso" localSheetId="6">'77008-St-Nicolas'!$A$38:$G$49</definedName>
    <definedName name="formatverso" localSheetId="7">'77010-Ste-Foy'!$A$29:$G$40</definedName>
    <definedName name="formatverso" localSheetId="8">'77032-Donnacona'!$A$40:$G$51</definedName>
    <definedName name="formatverso" localSheetId="9">'77036-La Malbaie'!$A$29:$G$40</definedName>
    <definedName name="formatverso" localSheetId="10">'77037-St-George'!$A$29:$G$40</definedName>
    <definedName name="formatverso" localSheetId="11">'77041-RDL'!$A$29:$G$40</definedName>
    <definedName name="formatverso" localSheetId="12">'77044-Les Saules'!$A$31:$G$42</definedName>
    <definedName name="formatverso" localSheetId="13">'77052-Beauport'!$A$38:$G$49</definedName>
    <definedName name="formatverso" localSheetId="14">'77053-Thetford'!$A$39:$G$50</definedName>
    <definedName name="formatverso" localSheetId="15">'77056-Ste-Anne'!$A$29:$G$40</definedName>
    <definedName name="formatverso" localSheetId="16">'77074-Vieux-Québec'!$A$39:$G$50</definedName>
    <definedName name="formatverso" localSheetId="17">'77083-Neuchâtel'!$A$67:$G$78</definedName>
    <definedName name="formatverso" localSheetId="18">'77090-Quatres-Bourgeois'!$A$28:$G$39</definedName>
    <definedName name="formatverso" localSheetId="19">'77096-Aylmer'!$A$28:$G$39</definedName>
    <definedName name="formatverso">'77004-Lévis'!$A$34:$G$45</definedName>
    <definedName name="Hasch" localSheetId="4">'77005-Bouvier'!$A$29:$G$33</definedName>
    <definedName name="Hasch" localSheetId="5">'77007-Val-Bélair'!$A$29:$G$33</definedName>
    <definedName name="Hasch" localSheetId="6">'77008-St-Nicolas'!$A$38:$G$42</definedName>
    <definedName name="Hasch" localSheetId="7">'77010-Ste-Foy'!$A$29:$G$33</definedName>
    <definedName name="Hasch" localSheetId="8">'77032-Donnacona'!$A$40:$G$44</definedName>
    <definedName name="Hasch" localSheetId="9">'77036-La Malbaie'!$A$29:$G$33</definedName>
    <definedName name="Hasch" localSheetId="10">'77037-St-George'!$A$29:$G$33</definedName>
    <definedName name="Hasch" localSheetId="11">'77041-RDL'!$A$29:$G$33</definedName>
    <definedName name="Hasch" localSheetId="12">'77044-Les Saules'!$A$31:$G$35</definedName>
    <definedName name="Hasch" localSheetId="13">'77052-Beauport'!$A$38:$G$42</definedName>
    <definedName name="Hasch" localSheetId="14">'77053-Thetford'!$A$39:$G$43</definedName>
    <definedName name="Hasch" localSheetId="15">'77056-Ste-Anne'!$A$29:$G$33</definedName>
    <definedName name="Hasch" localSheetId="16">'77074-Vieux-Québec'!$A$39:$G$43</definedName>
    <definedName name="Hasch" localSheetId="17">'77083-Neuchâtel'!$A$67:$G$71</definedName>
    <definedName name="Hasch" localSheetId="18">'77090-Quatres-Bourgeois'!$A$28:$G$32</definedName>
    <definedName name="Hasch" localSheetId="19">'77096-Aylmer'!$A$28:$G$32</definedName>
    <definedName name="Hasch">'77004-Lévis'!$A$34:$G$38</definedName>
    <definedName name="haschich" localSheetId="4">'77005-Bouvier'!$B$28:$G$32</definedName>
    <definedName name="haschich" localSheetId="5">'77007-Val-Bélair'!$B$28:$G$32</definedName>
    <definedName name="haschich" localSheetId="6">'77008-St-Nicolas'!$B$37:$G$41</definedName>
    <definedName name="haschich" localSheetId="7">'77010-Ste-Foy'!$B$28:$G$32</definedName>
    <definedName name="haschich" localSheetId="8">'77032-Donnacona'!$B$37:$G$41</definedName>
    <definedName name="haschich" localSheetId="9">'77036-La Malbaie'!$B$28:$G$32</definedName>
    <definedName name="haschich" localSheetId="10">'77037-St-George'!$B$28:$G$32</definedName>
    <definedName name="haschich" localSheetId="11">'77041-RDL'!$B$28:$G$32</definedName>
    <definedName name="haschich" localSheetId="12">'77044-Les Saules'!$B$30:$G$34</definedName>
    <definedName name="haschich" localSheetId="13">'77052-Beauport'!$B$38:$G$42</definedName>
    <definedName name="haschich" localSheetId="14">'77053-Thetford'!$B$39:$G$43</definedName>
    <definedName name="haschich" localSheetId="15">'77056-Ste-Anne'!$B$28:$G$32</definedName>
    <definedName name="haschich" localSheetId="16">'77074-Vieux-Québec'!$B$36:$G$40</definedName>
    <definedName name="haschich" localSheetId="17">'77083-Neuchâtel'!$B$66:$G$70</definedName>
    <definedName name="haschich" localSheetId="18">'77090-Quatres-Bourgeois'!$B$27:$G$31</definedName>
    <definedName name="haschich" localSheetId="19">'77096-Aylmer'!$B$27:$G$31</definedName>
    <definedName name="haschich">'77004-Lévis'!$B$33:$G$37</definedName>
    <definedName name="huilehybride1">#REF!</definedName>
    <definedName name="huileindica1">#REF!</definedName>
    <definedName name="huilesativa1">#REF!</definedName>
    <definedName name="hybride1">#REF!</definedName>
    <definedName name="hybride10_15g" localSheetId="4">'77005-Bouvier'!$B$12:$H$27</definedName>
    <definedName name="hybride10_15g" localSheetId="5">'77007-Val-Bélair'!$B$12:$H$27</definedName>
    <definedName name="hybride10_15g" localSheetId="6">'77008-St-Nicolas'!$B$13:$H$36</definedName>
    <definedName name="hybride10_15g" localSheetId="7">'77010-Ste-Foy'!$B$12:$H$27</definedName>
    <definedName name="hybride10_15g" localSheetId="8">'77032-Donnacona'!$B$13:$H$36</definedName>
    <definedName name="hybride10_15g" localSheetId="9">'77036-La Malbaie'!$B$12:$H$27</definedName>
    <definedName name="hybride10_15g" localSheetId="10">'77037-St-George'!$B$12:$H$27</definedName>
    <definedName name="hybride10_15g" localSheetId="11">'77041-RDL'!$B$12:$H$27</definedName>
    <definedName name="hybride10_15g" localSheetId="12">'77044-Les Saules'!$B$12:$H$29</definedName>
    <definedName name="hybride10_15g" localSheetId="13">'77052-Beauport'!$B$13:$H$37</definedName>
    <definedName name="hybride10_15g" localSheetId="14">'77053-Thetford'!$B$14:$H$38</definedName>
    <definedName name="hybride10_15g" localSheetId="15">'77056-Ste-Anne'!$B$12:$H$27</definedName>
    <definedName name="hybride10_15g" localSheetId="16">'77074-Vieux-Québec'!$B$13:$H$35</definedName>
    <definedName name="hybride10_15g" localSheetId="17">'77083-Neuchâtel'!$B$44:$H$65</definedName>
    <definedName name="hybride10_15g" localSheetId="18">'77090-Quatres-Bourgeois'!$B$12:$H$26</definedName>
    <definedName name="hybride10_15g" localSheetId="19">'77096-Aylmer'!$B$12:$H$26</definedName>
    <definedName name="hybride10_15g">'77004-Lévis'!$B$11:$H$32</definedName>
    <definedName name="hybride28g" localSheetId="4">'77005-Bouvier'!#REF!</definedName>
    <definedName name="hybride28g" localSheetId="5">'77007-Val-Bélair'!#REF!</definedName>
    <definedName name="hybride28g" localSheetId="6">'77008-St-Nicolas'!#REF!</definedName>
    <definedName name="hybride28g" localSheetId="7">'77010-Ste-Foy'!#REF!</definedName>
    <definedName name="hybride28g" localSheetId="8">'77032-Donnacona'!#REF!</definedName>
    <definedName name="hybride28g" localSheetId="9">'77036-La Malbaie'!#REF!</definedName>
    <definedName name="hybride28g" localSheetId="10">'77037-St-George'!#REF!</definedName>
    <definedName name="hybride28g" localSheetId="11">'77041-RDL'!#REF!</definedName>
    <definedName name="hybride28g" localSheetId="12">'77044-Les Saules'!#REF!</definedName>
    <definedName name="hybride28g" localSheetId="13">'77052-Beauport'!#REF!</definedName>
    <definedName name="hybride28g" localSheetId="14">'77053-Thetford'!#REF!</definedName>
    <definedName name="hybride28g" localSheetId="15">'77056-Ste-Anne'!#REF!</definedName>
    <definedName name="hybride28g" localSheetId="16">'77074-Vieux-Québec'!#REF!</definedName>
    <definedName name="hybride28g" localSheetId="17">'77083-Neuchâtel'!#REF!</definedName>
    <definedName name="hybride28g" localSheetId="18">'77090-Quatres-Bourgeois'!#REF!</definedName>
    <definedName name="hybride28g" localSheetId="19">'77096-Aylmer'!#REF!</definedName>
    <definedName name="hybride28g">'77004-Lévis'!#REF!</definedName>
    <definedName name="hybridepre">#REF!</definedName>
    <definedName name="HYBRIDEPRE3">#REF!</definedName>
    <definedName name="impgrosformat" localSheetId="4">'77005-Bouvier'!$A$1:$G$28</definedName>
    <definedName name="impgrosformat" localSheetId="5">'77007-Val-Bélair'!$A$1:$G$28</definedName>
    <definedName name="impgrosformat" localSheetId="6">'77008-St-Nicolas'!$A$1:$G$37</definedName>
    <definedName name="impgrosformat" localSheetId="7">'77010-Ste-Foy'!$A$1:$G$28</definedName>
    <definedName name="impgrosformat" localSheetId="8">'77032-Donnacona'!$A$1:$G$39</definedName>
    <definedName name="impgrosformat" localSheetId="9">'77036-La Malbaie'!$A$1:$G$28</definedName>
    <definedName name="impgrosformat" localSheetId="10">'77037-St-George'!$A$1:$G$28</definedName>
    <definedName name="impgrosformat" localSheetId="11">'77041-RDL'!$A$1:$G$28</definedName>
    <definedName name="impgrosformat" localSheetId="12">'77044-Les Saules'!$A$1:$G$30</definedName>
    <definedName name="impgrosformat" localSheetId="13">'77052-Beauport'!$A$1:$G$37</definedName>
    <definedName name="impgrosformat" localSheetId="14">'77053-Thetford'!$A$1:$G$38</definedName>
    <definedName name="impgrosformat" localSheetId="15">'77056-Ste-Anne'!$A$1:$G$28</definedName>
    <definedName name="impgrosformat" localSheetId="16">'77074-Vieux-Québec'!$A$1:$G$38</definedName>
    <definedName name="impgrosformat" localSheetId="17">'77083-Neuchâtel'!$A$1:$G$66</definedName>
    <definedName name="impgrosformat" localSheetId="18">'77090-Quatres-Bourgeois'!$A$1:$G$27</definedName>
    <definedName name="impgrosformat" localSheetId="19">'77096-Aylmer'!$A$1:$G$27</definedName>
    <definedName name="impgrosformat">'77004-Lévis'!$A$1:$G$33</definedName>
    <definedName name="imphasch" localSheetId="4">'77005-Bouvier'!$A$29:$G$47</definedName>
    <definedName name="imphasch" localSheetId="5">'77007-Val-Bélair'!$A$29:$G$47</definedName>
    <definedName name="imphasch" localSheetId="6">'77008-St-Nicolas'!$A$38:$G$56</definedName>
    <definedName name="imphasch" localSheetId="7">'77010-Ste-Foy'!$A$29:$G$47</definedName>
    <definedName name="imphasch" localSheetId="8">'77032-Donnacona'!$A$40:$G$58</definedName>
    <definedName name="imphasch" localSheetId="9">'77036-La Malbaie'!$A$29:$G$47</definedName>
    <definedName name="imphasch" localSheetId="10">'77037-St-George'!$A$29:$G$47</definedName>
    <definedName name="imphasch" localSheetId="11">'77041-RDL'!$A$29:$G$47</definedName>
    <definedName name="imphasch" localSheetId="12">'77044-Les Saules'!$A$31:$G$49</definedName>
    <definedName name="imphasch" localSheetId="13">'77052-Beauport'!$A$38:$G$56</definedName>
    <definedName name="imphasch" localSheetId="14">'77053-Thetford'!$A$39:$G$57</definedName>
    <definedName name="imphasch" localSheetId="15">'77056-Ste-Anne'!$A$29:$G$47</definedName>
    <definedName name="imphasch" localSheetId="16">'77074-Vieux-Québec'!$A$39:$G$57</definedName>
    <definedName name="imphasch" localSheetId="17">'77083-Neuchâtel'!$A$67:$G$85</definedName>
    <definedName name="imphasch" localSheetId="18">'77090-Quatres-Bourgeois'!$A$28:$G$46</definedName>
    <definedName name="imphasch" localSheetId="19">'77096-Aylmer'!$A$28:$G$46</definedName>
    <definedName name="imphasch">'77004-Lévis'!$A$34:$G$52</definedName>
    <definedName name="Indica">[1]!Préroulés_Indica[#All]</definedName>
    <definedName name="indica1" localSheetId="3">#REF!</definedName>
    <definedName name="indica1" localSheetId="4">#REF!</definedName>
    <definedName name="indica1" localSheetId="5">#REF!</definedName>
    <definedName name="indica1" localSheetId="6">#REF!</definedName>
    <definedName name="indica1" localSheetId="7">#REF!</definedName>
    <definedName name="indica1" localSheetId="8">#REF!</definedName>
    <definedName name="indica1" localSheetId="9">#REF!</definedName>
    <definedName name="indica1" localSheetId="10">#REF!</definedName>
    <definedName name="indica1" localSheetId="11">#REF!</definedName>
    <definedName name="indica1" localSheetId="12">#REF!</definedName>
    <definedName name="indica1" localSheetId="13">#REF!</definedName>
    <definedName name="indica1" localSheetId="14">#REF!</definedName>
    <definedName name="indica1" localSheetId="15">#REF!</definedName>
    <definedName name="indica1" localSheetId="16">#REF!</definedName>
    <definedName name="indica1" localSheetId="17">#REF!</definedName>
    <definedName name="indica1" localSheetId="18">#REF!</definedName>
    <definedName name="indica1" localSheetId="19">#REF!</definedName>
    <definedName name="indica1" localSheetId="0">#REF!</definedName>
    <definedName name="indica1">#REF!</definedName>
    <definedName name="indica10_15g" localSheetId="4">Tableau212[#All]</definedName>
    <definedName name="indica10_15g" localSheetId="5">Tableau212[#All]</definedName>
    <definedName name="indica10_15g" localSheetId="6">Tableau212[#All]</definedName>
    <definedName name="indica10_15g" localSheetId="7">Tableau212[#All]</definedName>
    <definedName name="indica10_15g" localSheetId="8">Tableau212[#All]</definedName>
    <definedName name="indica10_15g" localSheetId="9">Tableau212[#All]</definedName>
    <definedName name="indica10_15g" localSheetId="10">Tableau212[#All]</definedName>
    <definedName name="indica10_15g" localSheetId="11">Tableau212[#All]</definedName>
    <definedName name="indica10_15g" localSheetId="12">Tableau212[#All]</definedName>
    <definedName name="indica10_15g" localSheetId="13">Tableau212[#All]</definedName>
    <definedName name="indica10_15g" localSheetId="14">Tableau212[#All]</definedName>
    <definedName name="indica10_15g" localSheetId="15">Tableau212[#All]</definedName>
    <definedName name="indica10_15g" localSheetId="16">Tableau212[#All]</definedName>
    <definedName name="indica10_15g" localSheetId="17">Tableau212[#All]</definedName>
    <definedName name="indica10_15g" localSheetId="18">Tableau212[#All]</definedName>
    <definedName name="indica10_15g" localSheetId="19">Tableau212[#All]</definedName>
    <definedName name="indica10_15g">Tableau21[#All]</definedName>
    <definedName name="indica2">#REF!</definedName>
    <definedName name="indica28g" localSheetId="4">'77005-Bouvier'!#REF!</definedName>
    <definedName name="indica28g" localSheetId="5">'77007-Val-Bélair'!#REF!</definedName>
    <definedName name="indica28g" localSheetId="6">'77008-St-Nicolas'!#REF!</definedName>
    <definedName name="indica28g" localSheetId="7">'77010-Ste-Foy'!#REF!</definedName>
    <definedName name="indica28g" localSheetId="8">'77032-Donnacona'!#REF!</definedName>
    <definedName name="indica28g" localSheetId="9">'77036-La Malbaie'!#REF!</definedName>
    <definedName name="indica28g" localSheetId="10">'77037-St-George'!#REF!</definedName>
    <definedName name="indica28g" localSheetId="11">'77041-RDL'!#REF!</definedName>
    <definedName name="indica28g" localSheetId="12">'77044-Les Saules'!#REF!</definedName>
    <definedName name="indica28g" localSheetId="13">'77052-Beauport'!#REF!</definedName>
    <definedName name="indica28g" localSheetId="14">'77053-Thetford'!#REF!</definedName>
    <definedName name="indica28g" localSheetId="15">'77056-Ste-Anne'!#REF!</definedName>
    <definedName name="indica28g" localSheetId="16">'77074-Vieux-Québec'!#REF!</definedName>
    <definedName name="indica28g" localSheetId="17">'77083-Neuchâtel'!#REF!</definedName>
    <definedName name="indica28g" localSheetId="18">'77090-Quatres-Bourgeois'!#REF!</definedName>
    <definedName name="indica28g" localSheetId="19">'77096-Aylmer'!#REF!</definedName>
    <definedName name="indica28g">'77004-Lévis'!#REF!</definedName>
    <definedName name="indicapre">#REF!</definedName>
    <definedName name="INDICAPRE3">#REF!</definedName>
    <definedName name="jointsinfusés">#REF!</definedName>
    <definedName name="pilulehybride1">#REF!</definedName>
    <definedName name="piluleindica1">#REF!</definedName>
    <definedName name="pilulesativa1">#REF!</definedName>
    <definedName name="Sativa">[1]!Préroulés_Sativa[#All]</definedName>
    <definedName name="sativa1" localSheetId="3">#REF!</definedName>
    <definedName name="sativa1" localSheetId="4">#REF!</definedName>
    <definedName name="sativa1" localSheetId="5">#REF!</definedName>
    <definedName name="sativa1" localSheetId="6">#REF!</definedName>
    <definedName name="sativa1" localSheetId="7">#REF!</definedName>
    <definedName name="sativa1" localSheetId="8">#REF!</definedName>
    <definedName name="sativa1" localSheetId="9">#REF!</definedName>
    <definedName name="sativa1" localSheetId="10">#REF!</definedName>
    <definedName name="sativa1" localSheetId="11">#REF!</definedName>
    <definedName name="sativa1" localSheetId="12">#REF!</definedName>
    <definedName name="sativa1" localSheetId="13">#REF!</definedName>
    <definedName name="sativa1" localSheetId="14">#REF!</definedName>
    <definedName name="sativa1" localSheetId="15">#REF!</definedName>
    <definedName name="sativa1" localSheetId="16">#REF!</definedName>
    <definedName name="sativa1" localSheetId="17">#REF!</definedName>
    <definedName name="sativa1" localSheetId="18">#REF!</definedName>
    <definedName name="sativa1" localSheetId="19">#REF!</definedName>
    <definedName name="sativa1" localSheetId="0">#REF!</definedName>
    <definedName name="sativa1">#REF!</definedName>
    <definedName name="sativa10_15g" localSheetId="4">Tableau223[#All]</definedName>
    <definedName name="sativa10_15g" localSheetId="5">Tableau223[#All]</definedName>
    <definedName name="sativa10_15g" localSheetId="6">Tableau223[#All]</definedName>
    <definedName name="sativa10_15g" localSheetId="7">Tableau223[#All]</definedName>
    <definedName name="sativa10_15g" localSheetId="8">Tableau223[#All]</definedName>
    <definedName name="sativa10_15g" localSheetId="9">Tableau223[#All]</definedName>
    <definedName name="sativa10_15g" localSheetId="10">Tableau223[#All]</definedName>
    <definedName name="sativa10_15g" localSheetId="11">Tableau223[#All]</definedName>
    <definedName name="sativa10_15g" localSheetId="12">Tableau223[#All]</definedName>
    <definedName name="sativa10_15g" localSheetId="13">Tableau223[#All]</definedName>
    <definedName name="sativa10_15g" localSheetId="14">Tableau223[#All]</definedName>
    <definedName name="sativa10_15g" localSheetId="15">Tableau223[#All]</definedName>
    <definedName name="sativa10_15g" localSheetId="16">Tableau223[#All]</definedName>
    <definedName name="sativa10_15g" localSheetId="17">Tableau223[#All]</definedName>
    <definedName name="sativa10_15g" localSheetId="18">Tableau223[#All]</definedName>
    <definedName name="sativa10_15g" localSheetId="19">Tableau223[#All]</definedName>
    <definedName name="sativa10_15g">Tableau22[#All]</definedName>
    <definedName name="sativa28g" localSheetId="4">'77005-Bouvier'!#REF!</definedName>
    <definedName name="sativa28g" localSheetId="5">'77007-Val-Bélair'!#REF!</definedName>
    <definedName name="sativa28g" localSheetId="6">'77008-St-Nicolas'!#REF!</definedName>
    <definedName name="sativa28g" localSheetId="7">'77010-Ste-Foy'!#REF!</definedName>
    <definedName name="sativa28g" localSheetId="8">'77032-Donnacona'!#REF!</definedName>
    <definedName name="sativa28g" localSheetId="9">'77036-La Malbaie'!#REF!</definedName>
    <definedName name="sativa28g" localSheetId="10">'77037-St-George'!#REF!</definedName>
    <definedName name="sativa28g" localSheetId="11">'77041-RDL'!#REF!</definedName>
    <definedName name="sativa28g" localSheetId="12">'77044-Les Saules'!#REF!</definedName>
    <definedName name="sativa28g" localSheetId="13">'77052-Beauport'!#REF!</definedName>
    <definedName name="sativa28g" localSheetId="14">'77053-Thetford'!#REF!</definedName>
    <definedName name="sativa28g" localSheetId="15">'77056-Ste-Anne'!#REF!</definedName>
    <definedName name="sativa28g" localSheetId="16">'77074-Vieux-Québec'!#REF!</definedName>
    <definedName name="sativa28g" localSheetId="17">'77083-Neuchâtel'!#REF!</definedName>
    <definedName name="sativa28g" localSheetId="18">'77090-Quatres-Bourgeois'!#REF!</definedName>
    <definedName name="sativa28g" localSheetId="19">'77096-Aylmer'!#REF!</definedName>
    <definedName name="sativa28g">'77004-Lévis'!#REF!</definedName>
    <definedName name="sativapre">#REF!</definedName>
    <definedName name="SATIVAPRE3">#REF!</definedName>
    <definedName name="_xlnm.Print_Area" localSheetId="3">'77004-Lévis'!$A$2:$H$32</definedName>
    <definedName name="_xlnm.Print_Area" localSheetId="4">'77005-Bouvier'!$A$2:$H$27</definedName>
    <definedName name="_xlnm.Print_Area" localSheetId="5">'77007-Val-Bélair'!$A$2:$H$27</definedName>
    <definedName name="_xlnm.Print_Area" localSheetId="6">'77008-St-Nicolas'!$A$2:$H$36</definedName>
    <definedName name="_xlnm.Print_Area" localSheetId="7">'77010-Ste-Foy'!$A$2:$H$27</definedName>
    <definedName name="_xlnm.Print_Area" localSheetId="8">'77032-Donnacona'!$A$2:$H$38</definedName>
    <definedName name="_xlnm.Print_Area" localSheetId="9">'77036-La Malbaie'!$A$2:$H$27</definedName>
    <definedName name="_xlnm.Print_Area" localSheetId="10">'77037-St-George'!$A$2:$H$27</definedName>
    <definedName name="_xlnm.Print_Area" localSheetId="11">'77041-RDL'!$A$2:$H$27</definedName>
    <definedName name="_xlnm.Print_Area" localSheetId="12">'77044-Les Saules'!$A$2:$H$29</definedName>
    <definedName name="_xlnm.Print_Area" localSheetId="13">'77052-Beauport'!$A$2:$H$37</definedName>
    <definedName name="_xlnm.Print_Area" localSheetId="14">'77053-Thetford'!$A$2:$H$38</definedName>
    <definedName name="_xlnm.Print_Area" localSheetId="15">'77056-Ste-Anne'!$A$2:$H$25</definedName>
    <definedName name="_xlnm.Print_Area" localSheetId="16">'77074-Vieux-Québec'!$A$2:$H$37</definedName>
    <definedName name="_xlnm.Print_Area" localSheetId="17">'77083-Neuchâtel'!$A$34:$H$65</definedName>
    <definedName name="_xlnm.Print_Area" localSheetId="18">'77090-Quatres-Bourgeois'!$A$2:$H$26</definedName>
    <definedName name="_xlnm.Print_Area" localSheetId="19">'77096-Aylmer'!$A$2:$H$26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26" l="1"/>
  <c r="G55" i="26"/>
  <c r="D55" i="26"/>
  <c r="C55" i="26"/>
  <c r="H18" i="19"/>
  <c r="G18" i="19"/>
  <c r="D18" i="19"/>
  <c r="C18" i="19"/>
  <c r="H25" i="19"/>
  <c r="G25" i="19"/>
  <c r="D25" i="19"/>
  <c r="H36" i="53" l="1"/>
  <c r="G36" i="53"/>
  <c r="D36" i="53"/>
  <c r="C36" i="53"/>
  <c r="H35" i="53"/>
  <c r="G35" i="53"/>
  <c r="D35" i="53"/>
  <c r="C35" i="53"/>
  <c r="H34" i="53"/>
  <c r="G34" i="53"/>
  <c r="D34" i="53"/>
  <c r="C34" i="53"/>
  <c r="H33" i="53"/>
  <c r="G33" i="53"/>
  <c r="D33" i="53"/>
  <c r="C33" i="53"/>
  <c r="H32" i="53"/>
  <c r="G32" i="53"/>
  <c r="D32" i="53"/>
  <c r="C32" i="53"/>
  <c r="H31" i="53"/>
  <c r="G31" i="53"/>
  <c r="D31" i="53"/>
  <c r="C31" i="53"/>
  <c r="H30" i="53"/>
  <c r="G30" i="53"/>
  <c r="D30" i="53"/>
  <c r="C30" i="53"/>
  <c r="H29" i="53"/>
  <c r="G29" i="53"/>
  <c r="D29" i="53"/>
  <c r="C29" i="53"/>
  <c r="H28" i="53"/>
  <c r="G28" i="53"/>
  <c r="D28" i="53"/>
  <c r="C28" i="53"/>
  <c r="H27" i="53"/>
  <c r="G27" i="53"/>
  <c r="D27" i="53"/>
  <c r="C27" i="53"/>
  <c r="H26" i="53"/>
  <c r="G26" i="53"/>
  <c r="D26" i="53"/>
  <c r="C26" i="53"/>
  <c r="H25" i="53"/>
  <c r="G25" i="53"/>
  <c r="D25" i="53"/>
  <c r="C25" i="53"/>
  <c r="H24" i="53"/>
  <c r="G24" i="53"/>
  <c r="D24" i="53"/>
  <c r="C24" i="53"/>
  <c r="H23" i="53"/>
  <c r="G23" i="53"/>
  <c r="D23" i="53"/>
  <c r="C23" i="53"/>
  <c r="H22" i="53"/>
  <c r="G22" i="53"/>
  <c r="D22" i="53"/>
  <c r="C22" i="53"/>
  <c r="H21" i="53"/>
  <c r="G21" i="53"/>
  <c r="D21" i="53"/>
  <c r="C21" i="53"/>
  <c r="H20" i="53"/>
  <c r="G20" i="53"/>
  <c r="D20" i="53"/>
  <c r="C20" i="53"/>
  <c r="H19" i="53"/>
  <c r="G19" i="53"/>
  <c r="D19" i="53"/>
  <c r="C19" i="53"/>
  <c r="H18" i="53"/>
  <c r="G18" i="53"/>
  <c r="D18" i="53"/>
  <c r="C18" i="53"/>
  <c r="H17" i="53"/>
  <c r="G17" i="53"/>
  <c r="D17" i="53"/>
  <c r="C17" i="53"/>
  <c r="H16" i="53"/>
  <c r="G16" i="53"/>
  <c r="D16" i="53"/>
  <c r="C16" i="53"/>
  <c r="H15" i="53"/>
  <c r="G15" i="53"/>
  <c r="D15" i="53"/>
  <c r="C15" i="53"/>
  <c r="H14" i="53"/>
  <c r="G14" i="53"/>
  <c r="D14" i="53"/>
  <c r="C14" i="53"/>
  <c r="H11" i="53"/>
  <c r="G11" i="53"/>
  <c r="D11" i="53"/>
  <c r="C11" i="53"/>
  <c r="H10" i="53"/>
  <c r="G10" i="53"/>
  <c r="D10" i="53"/>
  <c r="C10" i="53"/>
  <c r="H9" i="53"/>
  <c r="G9" i="53"/>
  <c r="D9" i="53"/>
  <c r="C9" i="53"/>
  <c r="H8" i="53"/>
  <c r="G8" i="53"/>
  <c r="D8" i="53"/>
  <c r="C8" i="53"/>
  <c r="H5" i="53"/>
  <c r="G5" i="53"/>
  <c r="D5" i="53"/>
  <c r="C5" i="53"/>
  <c r="H4" i="53"/>
  <c r="G4" i="53"/>
  <c r="D4" i="53"/>
  <c r="C4" i="53"/>
  <c r="H26" i="52"/>
  <c r="G26" i="52"/>
  <c r="D26" i="52"/>
  <c r="C26" i="52"/>
  <c r="H25" i="52"/>
  <c r="G25" i="52"/>
  <c r="D25" i="52"/>
  <c r="C25" i="52"/>
  <c r="H24" i="52"/>
  <c r="G24" i="52"/>
  <c r="D24" i="52"/>
  <c r="C24" i="52"/>
  <c r="H23" i="52"/>
  <c r="G23" i="52"/>
  <c r="D23" i="52"/>
  <c r="C23" i="52"/>
  <c r="H22" i="52"/>
  <c r="G22" i="52"/>
  <c r="D22" i="52"/>
  <c r="C22" i="52"/>
  <c r="H21" i="52"/>
  <c r="G21" i="52"/>
  <c r="D21" i="52"/>
  <c r="C21" i="52"/>
  <c r="H20" i="52"/>
  <c r="G20" i="52"/>
  <c r="D20" i="52"/>
  <c r="C20" i="52"/>
  <c r="H19" i="52"/>
  <c r="G19" i="52"/>
  <c r="D19" i="52"/>
  <c r="C19" i="52"/>
  <c r="H18" i="52"/>
  <c r="G18" i="52"/>
  <c r="D18" i="52"/>
  <c r="C18" i="52"/>
  <c r="H17" i="52"/>
  <c r="G17" i="52"/>
  <c r="D17" i="52"/>
  <c r="C17" i="52"/>
  <c r="H16" i="52"/>
  <c r="G16" i="52"/>
  <c r="D16" i="52"/>
  <c r="C16" i="52"/>
  <c r="H15" i="52"/>
  <c r="G15" i="52"/>
  <c r="D15" i="52"/>
  <c r="C15" i="52"/>
  <c r="H14" i="52"/>
  <c r="G14" i="52"/>
  <c r="D14" i="52"/>
  <c r="C14" i="52"/>
  <c r="H13" i="52"/>
  <c r="G13" i="52"/>
  <c r="D13" i="52"/>
  <c r="C13" i="52"/>
  <c r="H10" i="52"/>
  <c r="G10" i="52"/>
  <c r="D10" i="52"/>
  <c r="C10" i="52"/>
  <c r="H9" i="52"/>
  <c r="G9" i="52"/>
  <c r="D9" i="52"/>
  <c r="C9" i="52"/>
  <c r="H8" i="52"/>
  <c r="G8" i="52"/>
  <c r="D8" i="52"/>
  <c r="C8" i="52"/>
  <c r="H5" i="52"/>
  <c r="G5" i="52"/>
  <c r="D5" i="52"/>
  <c r="C5" i="52"/>
  <c r="H4" i="52"/>
  <c r="G4" i="52"/>
  <c r="D4" i="52"/>
  <c r="C4" i="52"/>
  <c r="H21" i="2"/>
  <c r="G21" i="2"/>
  <c r="D21" i="2"/>
  <c r="C21" i="2"/>
  <c r="C28" i="19"/>
  <c r="D28" i="19"/>
  <c r="G28" i="19"/>
  <c r="H28" i="19"/>
  <c r="H54" i="26"/>
  <c r="G54" i="26"/>
  <c r="D54" i="26"/>
  <c r="C54" i="26"/>
  <c r="H8" i="29"/>
  <c r="G8" i="29"/>
  <c r="D8" i="29"/>
  <c r="C8" i="29"/>
  <c r="H65" i="26"/>
  <c r="G65" i="26"/>
  <c r="D65" i="26"/>
  <c r="C65" i="26"/>
  <c r="H63" i="26"/>
  <c r="G63" i="26"/>
  <c r="D63" i="26"/>
  <c r="C63" i="26"/>
  <c r="H26" i="25"/>
  <c r="G26" i="25"/>
  <c r="D26" i="25"/>
  <c r="C26" i="25"/>
  <c r="H33" i="19"/>
  <c r="G33" i="19"/>
  <c r="D33" i="19"/>
  <c r="C33" i="19"/>
  <c r="H28" i="29"/>
  <c r="G28" i="29"/>
  <c r="D28" i="29"/>
  <c r="C28" i="29"/>
  <c r="H19" i="25"/>
  <c r="G19" i="25"/>
  <c r="D19" i="25"/>
  <c r="C19" i="25"/>
  <c r="H26" i="2"/>
  <c r="G26" i="2"/>
  <c r="D26" i="2"/>
  <c r="C26" i="2"/>
  <c r="C37" i="26"/>
  <c r="D37" i="26"/>
  <c r="G37" i="26"/>
  <c r="H37" i="26"/>
  <c r="C36" i="26"/>
  <c r="D36" i="26"/>
  <c r="G36" i="26"/>
  <c r="H36" i="26"/>
  <c r="H10" i="19"/>
  <c r="G10" i="19"/>
  <c r="D10" i="19"/>
  <c r="C10" i="19"/>
  <c r="D4" i="50"/>
  <c r="H37" i="50"/>
  <c r="G37" i="50"/>
  <c r="D37" i="50"/>
  <c r="C37" i="50"/>
  <c r="H36" i="50"/>
  <c r="G36" i="50"/>
  <c r="D36" i="50"/>
  <c r="C36" i="50"/>
  <c r="H35" i="50"/>
  <c r="G35" i="50"/>
  <c r="D35" i="50"/>
  <c r="C35" i="50"/>
  <c r="H31" i="50"/>
  <c r="G31" i="50"/>
  <c r="D31" i="50"/>
  <c r="C31" i="50"/>
  <c r="H18" i="50"/>
  <c r="G18" i="50"/>
  <c r="D18" i="50"/>
  <c r="C18" i="50"/>
  <c r="H16" i="50"/>
  <c r="G16" i="50"/>
  <c r="D16" i="50"/>
  <c r="C16" i="50"/>
  <c r="H11" i="50"/>
  <c r="G11" i="50"/>
  <c r="D11" i="50"/>
  <c r="C11" i="50"/>
  <c r="H10" i="50"/>
  <c r="G10" i="50"/>
  <c r="D10" i="50"/>
  <c r="C10" i="50"/>
  <c r="H9" i="50"/>
  <c r="G9" i="50"/>
  <c r="D9" i="50"/>
  <c r="C9" i="50"/>
  <c r="H8" i="50"/>
  <c r="G8" i="50"/>
  <c r="D8" i="50"/>
  <c r="C8" i="50"/>
  <c r="H5" i="50"/>
  <c r="G5" i="50"/>
  <c r="D5" i="50"/>
  <c r="C5" i="50"/>
  <c r="H4" i="50"/>
  <c r="G4" i="50"/>
  <c r="C4" i="50"/>
  <c r="H27" i="49"/>
  <c r="G27" i="49"/>
  <c r="D27" i="49"/>
  <c r="C27" i="49"/>
  <c r="H26" i="49"/>
  <c r="G26" i="49"/>
  <c r="D26" i="49"/>
  <c r="C26" i="49"/>
  <c r="H25" i="49"/>
  <c r="G25" i="49"/>
  <c r="D25" i="49"/>
  <c r="C25" i="49"/>
  <c r="H23" i="49"/>
  <c r="G23" i="49"/>
  <c r="D23" i="49"/>
  <c r="C23" i="49"/>
  <c r="H14" i="49"/>
  <c r="G14" i="49"/>
  <c r="D14" i="49"/>
  <c r="C14" i="49"/>
  <c r="H10" i="49"/>
  <c r="G10" i="49"/>
  <c r="D10" i="49"/>
  <c r="C10" i="49"/>
  <c r="H9" i="49"/>
  <c r="G9" i="49"/>
  <c r="D9" i="49"/>
  <c r="C9" i="49"/>
  <c r="H8" i="49"/>
  <c r="G8" i="49"/>
  <c r="D8" i="49"/>
  <c r="C8" i="49"/>
  <c r="H5" i="49"/>
  <c r="G5" i="49"/>
  <c r="D5" i="49"/>
  <c r="C5" i="49"/>
  <c r="H4" i="49"/>
  <c r="G4" i="49"/>
  <c r="D4" i="49"/>
  <c r="C4" i="49"/>
  <c r="H5" i="19"/>
  <c r="H10" i="29"/>
  <c r="G10" i="29"/>
  <c r="D10" i="29"/>
  <c r="C10" i="29"/>
  <c r="H9" i="25"/>
  <c r="G9" i="25"/>
  <c r="D9" i="25"/>
  <c r="C9" i="25"/>
  <c r="H9" i="29"/>
  <c r="G9" i="29"/>
  <c r="D9" i="29"/>
  <c r="C9" i="29"/>
  <c r="H17" i="29"/>
  <c r="G17" i="29"/>
  <c r="D17" i="29"/>
  <c r="C17" i="29"/>
  <c r="C48" i="26"/>
  <c r="D48" i="26"/>
  <c r="G48" i="26"/>
  <c r="H48" i="26"/>
  <c r="H15" i="2"/>
  <c r="G15" i="2"/>
  <c r="D15" i="2"/>
  <c r="C15" i="2"/>
  <c r="C10" i="25"/>
  <c r="D10" i="25"/>
  <c r="G10" i="25"/>
  <c r="H10" i="25"/>
  <c r="H13" i="2"/>
  <c r="G13" i="2"/>
  <c r="D13" i="2"/>
  <c r="C13" i="2"/>
  <c r="H32" i="2"/>
  <c r="G32" i="2"/>
  <c r="D32" i="2"/>
  <c r="C32" i="2"/>
  <c r="H8" i="2"/>
  <c r="G8" i="2"/>
  <c r="D8" i="2"/>
  <c r="C8" i="2"/>
  <c r="J60" i="7"/>
  <c r="J67" i="7"/>
  <c r="J37" i="7"/>
  <c r="J51" i="7"/>
  <c r="J38" i="7"/>
  <c r="A60" i="7"/>
  <c r="A67" i="7"/>
  <c r="A37" i="7"/>
  <c r="A51" i="7"/>
  <c r="A38" i="7"/>
  <c r="J10" i="7"/>
  <c r="J9" i="7"/>
  <c r="J12" i="7"/>
  <c r="A10" i="7"/>
  <c r="A9" i="7"/>
  <c r="A12" i="7"/>
  <c r="A23" i="7"/>
  <c r="A22" i="7"/>
  <c r="J23" i="7"/>
  <c r="J22" i="7"/>
  <c r="H4" i="29"/>
  <c r="G4" i="29"/>
  <c r="D4" i="29"/>
  <c r="C4" i="29"/>
  <c r="H5" i="27"/>
  <c r="G5" i="27"/>
  <c r="D5" i="27"/>
  <c r="C5" i="27"/>
  <c r="H5" i="25"/>
  <c r="G5" i="25"/>
  <c r="D5" i="25"/>
  <c r="C5" i="25"/>
  <c r="H5" i="24"/>
  <c r="G5" i="24"/>
  <c r="D5" i="24"/>
  <c r="C5" i="24"/>
  <c r="H5" i="23"/>
  <c r="G5" i="23"/>
  <c r="D5" i="23"/>
  <c r="C5" i="23"/>
  <c r="H5" i="22"/>
  <c r="G5" i="22"/>
  <c r="D5" i="22"/>
  <c r="C5" i="22"/>
  <c r="H5" i="21"/>
  <c r="G5" i="21"/>
  <c r="D5" i="21"/>
  <c r="C5" i="21"/>
  <c r="H5" i="20"/>
  <c r="G5" i="20"/>
  <c r="D5" i="20"/>
  <c r="C5" i="20"/>
  <c r="H5" i="18"/>
  <c r="G5" i="18"/>
  <c r="D5" i="18"/>
  <c r="C5" i="18"/>
  <c r="H5" i="17"/>
  <c r="G5" i="17"/>
  <c r="D5" i="17"/>
  <c r="C5" i="17"/>
  <c r="J66" i="7" l="1"/>
  <c r="J68" i="7"/>
  <c r="A66" i="7"/>
  <c r="A68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9" i="7"/>
  <c r="A40" i="7"/>
  <c r="A41" i="7"/>
  <c r="A42" i="7"/>
  <c r="A43" i="7"/>
  <c r="A44" i="7"/>
  <c r="A45" i="7"/>
  <c r="A46" i="7"/>
  <c r="A47" i="7"/>
  <c r="A48" i="7"/>
  <c r="A49" i="7"/>
  <c r="A50" i="7"/>
  <c r="A52" i="7"/>
  <c r="A53" i="7"/>
  <c r="A54" i="7"/>
  <c r="A55" i="7"/>
  <c r="A56" i="7"/>
  <c r="A57" i="7"/>
  <c r="A58" i="7"/>
  <c r="A59" i="7"/>
  <c r="A61" i="7"/>
  <c r="A62" i="7"/>
  <c r="A63" i="7"/>
  <c r="A64" i="7"/>
  <c r="A65" i="7"/>
  <c r="A69" i="7"/>
  <c r="J58" i="7"/>
  <c r="J56" i="7"/>
  <c r="J53" i="7"/>
  <c r="J31" i="7"/>
  <c r="J30" i="7"/>
  <c r="J28" i="7"/>
  <c r="C59" i="26" l="1"/>
  <c r="G24" i="25"/>
  <c r="D14" i="29"/>
  <c r="C38" i="50"/>
  <c r="G33" i="50"/>
  <c r="C32" i="50"/>
  <c r="G30" i="50"/>
  <c r="C29" i="50"/>
  <c r="G27" i="50"/>
  <c r="C26" i="50"/>
  <c r="G24" i="50"/>
  <c r="C23" i="50"/>
  <c r="G21" i="50"/>
  <c r="C20" i="50"/>
  <c r="C17" i="50"/>
  <c r="G15" i="50"/>
  <c r="D22" i="49"/>
  <c r="H20" i="49"/>
  <c r="D19" i="49"/>
  <c r="H17" i="49"/>
  <c r="D16" i="49"/>
  <c r="D13" i="49"/>
  <c r="C37" i="29"/>
  <c r="G27" i="19"/>
  <c r="C17" i="19"/>
  <c r="C19" i="29"/>
  <c r="G22" i="2"/>
  <c r="C27" i="2"/>
  <c r="G14" i="2"/>
  <c r="C17" i="25"/>
  <c r="G30" i="29"/>
  <c r="C24" i="29"/>
  <c r="D30" i="19"/>
  <c r="H23" i="19"/>
  <c r="C61" i="26"/>
  <c r="H30" i="25"/>
  <c r="G33" i="29"/>
  <c r="C23" i="29"/>
  <c r="G20" i="25"/>
  <c r="C31" i="25"/>
  <c r="G49" i="26"/>
  <c r="C45" i="26"/>
  <c r="G12" i="2"/>
  <c r="H22" i="25"/>
  <c r="G38" i="50"/>
  <c r="C34" i="50"/>
  <c r="C28" i="50"/>
  <c r="C22" i="50"/>
  <c r="C19" i="50"/>
  <c r="D21" i="49"/>
  <c r="D18" i="49"/>
  <c r="G27" i="2"/>
  <c r="G24" i="29"/>
  <c r="C30" i="2"/>
  <c r="G23" i="29"/>
  <c r="G45" i="26"/>
  <c r="D26" i="50"/>
  <c r="C21" i="49"/>
  <c r="C15" i="49"/>
  <c r="D17" i="19"/>
  <c r="D17" i="25"/>
  <c r="D61" i="26"/>
  <c r="H20" i="25"/>
  <c r="G22" i="25"/>
  <c r="D59" i="26"/>
  <c r="H24" i="25"/>
  <c r="C14" i="29"/>
  <c r="H34" i="50"/>
  <c r="D33" i="50"/>
  <c r="D30" i="50"/>
  <c r="H28" i="50"/>
  <c r="D27" i="50"/>
  <c r="H25" i="50"/>
  <c r="D24" i="50"/>
  <c r="H22" i="50"/>
  <c r="D21" i="50"/>
  <c r="H19" i="50"/>
  <c r="D15" i="50"/>
  <c r="C22" i="49"/>
  <c r="G20" i="49"/>
  <c r="C19" i="49"/>
  <c r="G17" i="49"/>
  <c r="C16" i="49"/>
  <c r="C13" i="49"/>
  <c r="D27" i="19"/>
  <c r="H57" i="26"/>
  <c r="D22" i="2"/>
  <c r="H24" i="2"/>
  <c r="D14" i="2"/>
  <c r="H16" i="29"/>
  <c r="D30" i="29"/>
  <c r="C20" i="19"/>
  <c r="G30" i="19"/>
  <c r="H30" i="2"/>
  <c r="C25" i="25"/>
  <c r="D33" i="29"/>
  <c r="H27" i="25"/>
  <c r="D20" i="25"/>
  <c r="H50" i="26"/>
  <c r="D49" i="26"/>
  <c r="H31" i="2"/>
  <c r="D12" i="2"/>
  <c r="C14" i="25"/>
  <c r="C22" i="25"/>
  <c r="C24" i="25"/>
  <c r="G29" i="50"/>
  <c r="C25" i="50"/>
  <c r="G17" i="50"/>
  <c r="H22" i="49"/>
  <c r="D15" i="49"/>
  <c r="G37" i="29"/>
  <c r="C57" i="26"/>
  <c r="C16" i="29"/>
  <c r="D23" i="19"/>
  <c r="D30" i="25"/>
  <c r="G31" i="25"/>
  <c r="C31" i="2"/>
  <c r="D38" i="50"/>
  <c r="D32" i="50"/>
  <c r="H27" i="50"/>
  <c r="H21" i="50"/>
  <c r="H15" i="50"/>
  <c r="G22" i="49"/>
  <c r="G16" i="49"/>
  <c r="H27" i="19"/>
  <c r="D27" i="2"/>
  <c r="D23" i="29"/>
  <c r="D45" i="26"/>
  <c r="G59" i="26"/>
  <c r="G34" i="50"/>
  <c r="C33" i="50"/>
  <c r="C30" i="50"/>
  <c r="G28" i="50"/>
  <c r="C27" i="50"/>
  <c r="G25" i="50"/>
  <c r="C24" i="50"/>
  <c r="G22" i="50"/>
  <c r="C21" i="50"/>
  <c r="G19" i="50"/>
  <c r="C15" i="50"/>
  <c r="H24" i="49"/>
  <c r="H21" i="49"/>
  <c r="D20" i="49"/>
  <c r="H18" i="49"/>
  <c r="D17" i="49"/>
  <c r="H15" i="49"/>
  <c r="C27" i="19"/>
  <c r="G57" i="26"/>
  <c r="C22" i="2"/>
  <c r="G24" i="2"/>
  <c r="C14" i="2"/>
  <c r="G16" i="29"/>
  <c r="C30" i="29"/>
  <c r="D20" i="19"/>
  <c r="H30" i="19"/>
  <c r="G30" i="2"/>
  <c r="D25" i="25"/>
  <c r="C33" i="29"/>
  <c r="G27" i="25"/>
  <c r="C20" i="25"/>
  <c r="G50" i="26"/>
  <c r="C49" i="26"/>
  <c r="G31" i="2"/>
  <c r="C12" i="2"/>
  <c r="D14" i="25"/>
  <c r="H14" i="29"/>
  <c r="G32" i="50"/>
  <c r="G26" i="50"/>
  <c r="G20" i="50"/>
  <c r="D24" i="49"/>
  <c r="H19" i="49"/>
  <c r="H13" i="49"/>
  <c r="G19" i="29"/>
  <c r="C24" i="2"/>
  <c r="G61" i="26"/>
  <c r="H25" i="25"/>
  <c r="C50" i="26"/>
  <c r="H14" i="25"/>
  <c r="G14" i="29"/>
  <c r="H30" i="50"/>
  <c r="H24" i="50"/>
  <c r="D20" i="50"/>
  <c r="G19" i="49"/>
  <c r="G13" i="49"/>
  <c r="D19" i="29"/>
  <c r="H14" i="2"/>
  <c r="D24" i="29"/>
  <c r="G23" i="19"/>
  <c r="H33" i="29"/>
  <c r="H49" i="26"/>
  <c r="H59" i="26"/>
  <c r="H38" i="50"/>
  <c r="D34" i="50"/>
  <c r="H32" i="50"/>
  <c r="H29" i="50"/>
  <c r="D28" i="50"/>
  <c r="H26" i="50"/>
  <c r="D25" i="50"/>
  <c r="H23" i="50"/>
  <c r="D22" i="50"/>
  <c r="H20" i="50"/>
  <c r="D19" i="50"/>
  <c r="H17" i="50"/>
  <c r="G24" i="49"/>
  <c r="G21" i="49"/>
  <c r="C20" i="49"/>
  <c r="G18" i="49"/>
  <c r="C17" i="49"/>
  <c r="G15" i="49"/>
  <c r="H37" i="29"/>
  <c r="H17" i="19"/>
  <c r="H19" i="29"/>
  <c r="D57" i="26"/>
  <c r="H27" i="2"/>
  <c r="D24" i="2"/>
  <c r="H17" i="25"/>
  <c r="D16" i="29"/>
  <c r="H24" i="29"/>
  <c r="G20" i="19"/>
  <c r="C23" i="19"/>
  <c r="D30" i="2"/>
  <c r="H61" i="26"/>
  <c r="C30" i="25"/>
  <c r="G25" i="25"/>
  <c r="H23" i="29"/>
  <c r="D27" i="25"/>
  <c r="H31" i="25"/>
  <c r="D50" i="26"/>
  <c r="H45" i="26"/>
  <c r="D31" i="2"/>
  <c r="G14" i="25"/>
  <c r="G23" i="50"/>
  <c r="H16" i="49"/>
  <c r="G17" i="19"/>
  <c r="G17" i="25"/>
  <c r="H20" i="19"/>
  <c r="C27" i="25"/>
  <c r="D22" i="25"/>
  <c r="D24" i="25"/>
  <c r="H33" i="50"/>
  <c r="D29" i="50"/>
  <c r="D23" i="50"/>
  <c r="D17" i="50"/>
  <c r="C24" i="49"/>
  <c r="C18" i="49"/>
  <c r="D37" i="29"/>
  <c r="H22" i="2"/>
  <c r="H30" i="29"/>
  <c r="C30" i="19"/>
  <c r="G30" i="25"/>
  <c r="D31" i="25"/>
  <c r="H12" i="2"/>
  <c r="D15" i="29"/>
  <c r="G19" i="2"/>
  <c r="C62" i="26"/>
  <c r="H62" i="26"/>
  <c r="H19" i="2"/>
  <c r="C34" i="29"/>
  <c r="C15" i="29"/>
  <c r="H34" i="29"/>
  <c r="C16" i="2"/>
  <c r="D17" i="2"/>
  <c r="D34" i="29"/>
  <c r="D32" i="25"/>
  <c r="D16" i="2"/>
  <c r="H15" i="29"/>
  <c r="H17" i="2"/>
  <c r="C32" i="25"/>
  <c r="C19" i="2"/>
  <c r="D62" i="26"/>
  <c r="C17" i="2"/>
  <c r="D60" i="26"/>
  <c r="H60" i="26"/>
  <c r="D19" i="2"/>
  <c r="H32" i="25"/>
  <c r="C60" i="26"/>
  <c r="H16" i="2"/>
  <c r="D24" i="19"/>
  <c r="H35" i="19"/>
  <c r="D32" i="19"/>
  <c r="H26" i="19"/>
  <c r="H34" i="25"/>
  <c r="C24" i="19"/>
  <c r="G24" i="19"/>
  <c r="C15" i="19"/>
  <c r="G32" i="19"/>
  <c r="G15" i="19"/>
  <c r="C35" i="19"/>
  <c r="C26" i="19"/>
  <c r="C34" i="25"/>
  <c r="H15" i="19"/>
  <c r="D26" i="19"/>
  <c r="D34" i="25"/>
  <c r="G26" i="19"/>
  <c r="H24" i="19"/>
  <c r="D15" i="19"/>
  <c r="H32" i="19"/>
  <c r="D35" i="19"/>
  <c r="C32" i="19"/>
  <c r="C26" i="29"/>
  <c r="G26" i="29"/>
  <c r="D26" i="29"/>
  <c r="H26" i="29"/>
  <c r="H56" i="26"/>
  <c r="D56" i="26"/>
  <c r="C56" i="26"/>
  <c r="C31" i="29"/>
  <c r="D31" i="29"/>
  <c r="H31" i="29"/>
  <c r="H25" i="23"/>
  <c r="D25" i="23"/>
  <c r="C25" i="23"/>
  <c r="H26" i="23"/>
  <c r="D26" i="23"/>
  <c r="C26" i="23"/>
  <c r="H27" i="23"/>
  <c r="D27" i="23"/>
  <c r="C27" i="23"/>
  <c r="H28" i="23"/>
  <c r="G28" i="23"/>
  <c r="D28" i="23"/>
  <c r="C28" i="23"/>
  <c r="H19" i="23"/>
  <c r="G19" i="23"/>
  <c r="D19" i="23"/>
  <c r="C19" i="23"/>
  <c r="H18" i="25"/>
  <c r="G23" i="25"/>
  <c r="D23" i="25"/>
  <c r="H23" i="25"/>
  <c r="C18" i="25"/>
  <c r="C23" i="25"/>
  <c r="D18" i="25"/>
  <c r="H29" i="23"/>
  <c r="G29" i="23"/>
  <c r="D29" i="23"/>
  <c r="C29" i="23"/>
  <c r="H13" i="23"/>
  <c r="G13" i="23"/>
  <c r="D13" i="23"/>
  <c r="C13" i="23"/>
  <c r="C35" i="25"/>
  <c r="D35" i="25"/>
  <c r="G35" i="25"/>
  <c r="H35" i="25"/>
  <c r="H52" i="26"/>
  <c r="G52" i="26"/>
  <c r="D52" i="26"/>
  <c r="C52" i="26"/>
  <c r="D36" i="29"/>
  <c r="H32" i="29"/>
  <c r="H20" i="29"/>
  <c r="C36" i="29"/>
  <c r="G32" i="29"/>
  <c r="D32" i="29"/>
  <c r="H22" i="29"/>
  <c r="D20" i="29"/>
  <c r="C32" i="29"/>
  <c r="G22" i="29"/>
  <c r="C20" i="29"/>
  <c r="H36" i="29"/>
  <c r="D22" i="29"/>
  <c r="G36" i="29"/>
  <c r="C22" i="29"/>
  <c r="H31" i="19"/>
  <c r="D36" i="19"/>
  <c r="H14" i="19"/>
  <c r="D35" i="29"/>
  <c r="H29" i="29"/>
  <c r="D21" i="29"/>
  <c r="D18" i="29"/>
  <c r="H25" i="27"/>
  <c r="D24" i="27"/>
  <c r="H22" i="27"/>
  <c r="D21" i="27"/>
  <c r="H19" i="27"/>
  <c r="D18" i="27"/>
  <c r="H16" i="27"/>
  <c r="D15" i="27"/>
  <c r="H13" i="27"/>
  <c r="D64" i="26"/>
  <c r="H53" i="26"/>
  <c r="H47" i="26"/>
  <c r="H33" i="25"/>
  <c r="D29" i="25"/>
  <c r="D21" i="25"/>
  <c r="D15" i="25"/>
  <c r="H26" i="24"/>
  <c r="D25" i="24"/>
  <c r="H23" i="24"/>
  <c r="D22" i="24"/>
  <c r="H20" i="24"/>
  <c r="G31" i="19"/>
  <c r="C36" i="19"/>
  <c r="G14" i="19"/>
  <c r="C35" i="29"/>
  <c r="C21" i="29"/>
  <c r="C18" i="29"/>
  <c r="G25" i="27"/>
  <c r="C24" i="27"/>
  <c r="C21" i="27"/>
  <c r="C18" i="27"/>
  <c r="C15" i="27"/>
  <c r="C64" i="26"/>
  <c r="C29" i="25"/>
  <c r="C21" i="25"/>
  <c r="C15" i="25"/>
  <c r="D31" i="19"/>
  <c r="H34" i="19"/>
  <c r="D14" i="19"/>
  <c r="D29" i="29"/>
  <c r="H25" i="29"/>
  <c r="H27" i="29"/>
  <c r="H26" i="27"/>
  <c r="D25" i="27"/>
  <c r="H23" i="27"/>
  <c r="D22" i="27"/>
  <c r="H20" i="27"/>
  <c r="D19" i="27"/>
  <c r="H17" i="27"/>
  <c r="D16" i="27"/>
  <c r="H14" i="27"/>
  <c r="D13" i="27"/>
  <c r="H58" i="26"/>
  <c r="D53" i="26"/>
  <c r="H51" i="26"/>
  <c r="H46" i="26"/>
  <c r="D47" i="26"/>
  <c r="C31" i="19"/>
  <c r="C14" i="19"/>
  <c r="C29" i="29"/>
  <c r="C25" i="27"/>
  <c r="C22" i="27"/>
  <c r="G20" i="27"/>
  <c r="C19" i="27"/>
  <c r="C16" i="27"/>
  <c r="C13" i="27"/>
  <c r="C53" i="26"/>
  <c r="C47" i="26"/>
  <c r="C33" i="25"/>
  <c r="D34" i="19"/>
  <c r="H36" i="19"/>
  <c r="H35" i="29"/>
  <c r="D25" i="29"/>
  <c r="H21" i="29"/>
  <c r="D27" i="29"/>
  <c r="H18" i="29"/>
  <c r="D26" i="27"/>
  <c r="H24" i="27"/>
  <c r="D23" i="27"/>
  <c r="H21" i="27"/>
  <c r="D20" i="27"/>
  <c r="H18" i="27"/>
  <c r="D17" i="27"/>
  <c r="H15" i="27"/>
  <c r="D14" i="27"/>
  <c r="H64" i="26"/>
  <c r="D58" i="26"/>
  <c r="D51" i="26"/>
  <c r="D46" i="26"/>
  <c r="H29" i="25"/>
  <c r="D28" i="25"/>
  <c r="H21" i="25"/>
  <c r="H15" i="25"/>
  <c r="D16" i="25"/>
  <c r="D27" i="24"/>
  <c r="H25" i="24"/>
  <c r="D24" i="24"/>
  <c r="H22" i="24"/>
  <c r="D21" i="24"/>
  <c r="H19" i="24"/>
  <c r="D18" i="24"/>
  <c r="H16" i="24"/>
  <c r="D15" i="24"/>
  <c r="H13" i="24"/>
  <c r="D16" i="23"/>
  <c r="H17" i="23"/>
  <c r="D18" i="23"/>
  <c r="H22" i="23"/>
  <c r="D20" i="23"/>
  <c r="H15" i="23"/>
  <c r="D14" i="23"/>
  <c r="H26" i="22"/>
  <c r="D25" i="22"/>
  <c r="H23" i="22"/>
  <c r="D22" i="22"/>
  <c r="H20" i="22"/>
  <c r="C27" i="24"/>
  <c r="H24" i="24"/>
  <c r="D20" i="24"/>
  <c r="H14" i="24"/>
  <c r="C13" i="24"/>
  <c r="C16" i="23"/>
  <c r="D17" i="23"/>
  <c r="H18" i="23"/>
  <c r="C23" i="23"/>
  <c r="C20" i="23"/>
  <c r="D15" i="23"/>
  <c r="G26" i="22"/>
  <c r="H24" i="22"/>
  <c r="C23" i="22"/>
  <c r="D21" i="22"/>
  <c r="C18" i="22"/>
  <c r="C15" i="22"/>
  <c r="C26" i="21"/>
  <c r="C23" i="21"/>
  <c r="G21" i="21"/>
  <c r="C20" i="21"/>
  <c r="C17" i="21"/>
  <c r="C14" i="21"/>
  <c r="G26" i="20"/>
  <c r="C25" i="20"/>
  <c r="C22" i="20"/>
  <c r="C19" i="20"/>
  <c r="C16" i="20"/>
  <c r="C13" i="20"/>
  <c r="C34" i="19"/>
  <c r="C20" i="27"/>
  <c r="H16" i="25"/>
  <c r="G26" i="24"/>
  <c r="C22" i="24"/>
  <c r="C20" i="24"/>
  <c r="C18" i="24"/>
  <c r="D16" i="24"/>
  <c r="H24" i="23"/>
  <c r="C17" i="23"/>
  <c r="H21" i="23"/>
  <c r="C15" i="23"/>
  <c r="D26" i="22"/>
  <c r="H22" i="22"/>
  <c r="C21" i="22"/>
  <c r="D19" i="22"/>
  <c r="H17" i="22"/>
  <c r="D16" i="22"/>
  <c r="H14" i="22"/>
  <c r="D13" i="22"/>
  <c r="D27" i="21"/>
  <c r="H25" i="21"/>
  <c r="D24" i="21"/>
  <c r="H22" i="21"/>
  <c r="D21" i="21"/>
  <c r="G36" i="19"/>
  <c r="C51" i="26"/>
  <c r="D33" i="25"/>
  <c r="D26" i="24"/>
  <c r="C24" i="24"/>
  <c r="H21" i="24"/>
  <c r="H17" i="24"/>
  <c r="C16" i="24"/>
  <c r="D14" i="24"/>
  <c r="C25" i="29"/>
  <c r="C26" i="27"/>
  <c r="C17" i="27"/>
  <c r="G29" i="25"/>
  <c r="C16" i="25"/>
  <c r="C26" i="24"/>
  <c r="G21" i="24"/>
  <c r="D19" i="24"/>
  <c r="H15" i="24"/>
  <c r="C14" i="24"/>
  <c r="D24" i="23"/>
  <c r="H23" i="23"/>
  <c r="C22" i="23"/>
  <c r="D21" i="23"/>
  <c r="H25" i="22"/>
  <c r="C24" i="22"/>
  <c r="C22" i="22"/>
  <c r="D20" i="22"/>
  <c r="H18" i="22"/>
  <c r="D17" i="22"/>
  <c r="H15" i="22"/>
  <c r="D14" i="22"/>
  <c r="H26" i="21"/>
  <c r="D25" i="21"/>
  <c r="H23" i="21"/>
  <c r="D22" i="21"/>
  <c r="H20" i="21"/>
  <c r="D19" i="21"/>
  <c r="H17" i="21"/>
  <c r="D16" i="21"/>
  <c r="H14" i="21"/>
  <c r="D13" i="21"/>
  <c r="D27" i="20"/>
  <c r="H25" i="20"/>
  <c r="D24" i="20"/>
  <c r="H22" i="20"/>
  <c r="D21" i="20"/>
  <c r="H19" i="20"/>
  <c r="D18" i="20"/>
  <c r="H16" i="20"/>
  <c r="D15" i="20"/>
  <c r="H13" i="20"/>
  <c r="D29" i="19"/>
  <c r="D19" i="19"/>
  <c r="H21" i="19"/>
  <c r="H26" i="18"/>
  <c r="C58" i="26"/>
  <c r="C46" i="26"/>
  <c r="H28" i="25"/>
  <c r="H27" i="24"/>
  <c r="D23" i="24"/>
  <c r="C21" i="24"/>
  <c r="C19" i="24"/>
  <c r="D17" i="24"/>
  <c r="H16" i="23"/>
  <c r="C24" i="23"/>
  <c r="H20" i="23"/>
  <c r="C21" i="23"/>
  <c r="C14" i="23"/>
  <c r="D27" i="22"/>
  <c r="H21" i="22"/>
  <c r="C20" i="22"/>
  <c r="C17" i="22"/>
  <c r="C14" i="22"/>
  <c r="G26" i="21"/>
  <c r="C25" i="21"/>
  <c r="C22" i="21"/>
  <c r="C19" i="21"/>
  <c r="C16" i="21"/>
  <c r="C13" i="21"/>
  <c r="C27" i="20"/>
  <c r="C24" i="20"/>
  <c r="C21" i="20"/>
  <c r="C18" i="20"/>
  <c r="C15" i="20"/>
  <c r="C29" i="19"/>
  <c r="C19" i="19"/>
  <c r="G26" i="18"/>
  <c r="C23" i="27"/>
  <c r="C28" i="25"/>
  <c r="D24" i="22"/>
  <c r="C19" i="22"/>
  <c r="H27" i="21"/>
  <c r="D23" i="21"/>
  <c r="H27" i="20"/>
  <c r="H24" i="20"/>
  <c r="H21" i="20"/>
  <c r="H18" i="20"/>
  <c r="H15" i="20"/>
  <c r="H22" i="19"/>
  <c r="D16" i="19"/>
  <c r="D27" i="18"/>
  <c r="D25" i="18"/>
  <c r="H23" i="18"/>
  <c r="D22" i="18"/>
  <c r="H20" i="18"/>
  <c r="D19" i="18"/>
  <c r="H17" i="18"/>
  <c r="D16" i="18"/>
  <c r="H14" i="18"/>
  <c r="D13" i="18"/>
  <c r="D27" i="17"/>
  <c r="H25" i="17"/>
  <c r="D24" i="17"/>
  <c r="H22" i="17"/>
  <c r="D21" i="17"/>
  <c r="H19" i="17"/>
  <c r="D18" i="17"/>
  <c r="H16" i="17"/>
  <c r="D15" i="17"/>
  <c r="H13" i="17"/>
  <c r="C25" i="18"/>
  <c r="C27" i="29"/>
  <c r="C14" i="27"/>
  <c r="H18" i="24"/>
  <c r="D23" i="22"/>
  <c r="D18" i="22"/>
  <c r="H13" i="22"/>
  <c r="C27" i="21"/>
  <c r="H18" i="21"/>
  <c r="H15" i="21"/>
  <c r="G21" i="20"/>
  <c r="C16" i="19"/>
  <c r="C17" i="24"/>
  <c r="H27" i="22"/>
  <c r="C13" i="22"/>
  <c r="D26" i="21"/>
  <c r="H21" i="21"/>
  <c r="D18" i="21"/>
  <c r="D15" i="21"/>
  <c r="H26" i="20"/>
  <c r="H23" i="20"/>
  <c r="H20" i="20"/>
  <c r="H17" i="20"/>
  <c r="H14" i="20"/>
  <c r="H29" i="19"/>
  <c r="D22" i="19"/>
  <c r="D26" i="18"/>
  <c r="H24" i="18"/>
  <c r="D23" i="18"/>
  <c r="H21" i="18"/>
  <c r="D20" i="18"/>
  <c r="H18" i="18"/>
  <c r="D17" i="18"/>
  <c r="H15" i="18"/>
  <c r="D14" i="18"/>
  <c r="H26" i="17"/>
  <c r="D25" i="17"/>
  <c r="H23" i="17"/>
  <c r="D22" i="17"/>
  <c r="H20" i="17"/>
  <c r="D19" i="17"/>
  <c r="H17" i="17"/>
  <c r="D16" i="17"/>
  <c r="H14" i="17"/>
  <c r="D13" i="17"/>
  <c r="C22" i="18"/>
  <c r="C13" i="18"/>
  <c r="C27" i="17"/>
  <c r="C21" i="17"/>
  <c r="C15" i="17"/>
  <c r="C15" i="24"/>
  <c r="C18" i="23"/>
  <c r="H14" i="23"/>
  <c r="C27" i="22"/>
  <c r="G21" i="22"/>
  <c r="H16" i="22"/>
  <c r="C21" i="21"/>
  <c r="C18" i="21"/>
  <c r="C15" i="21"/>
  <c r="D26" i="20"/>
  <c r="D23" i="20"/>
  <c r="D20" i="20"/>
  <c r="D17" i="20"/>
  <c r="D14" i="20"/>
  <c r="C22" i="19"/>
  <c r="C26" i="18"/>
  <c r="C23" i="18"/>
  <c r="G21" i="18"/>
  <c r="C20" i="18"/>
  <c r="C17" i="18"/>
  <c r="C14" i="18"/>
  <c r="G26" i="17"/>
  <c r="C25" i="17"/>
  <c r="C22" i="17"/>
  <c r="C19" i="17"/>
  <c r="C16" i="17"/>
  <c r="C13" i="17"/>
  <c r="C17" i="17"/>
  <c r="C14" i="17"/>
  <c r="C24" i="17"/>
  <c r="C18" i="17"/>
  <c r="C25" i="24"/>
  <c r="D13" i="24"/>
  <c r="D23" i="23"/>
  <c r="C26" i="22"/>
  <c r="C16" i="22"/>
  <c r="H24" i="21"/>
  <c r="D20" i="21"/>
  <c r="D17" i="21"/>
  <c r="D14" i="21"/>
  <c r="C26" i="20"/>
  <c r="C23" i="20"/>
  <c r="C20" i="20"/>
  <c r="C17" i="20"/>
  <c r="C14" i="20"/>
  <c r="H19" i="19"/>
  <c r="D21" i="19"/>
  <c r="H16" i="19"/>
  <c r="H27" i="18"/>
  <c r="H25" i="18"/>
  <c r="D24" i="18"/>
  <c r="H22" i="18"/>
  <c r="D21" i="18"/>
  <c r="H19" i="18"/>
  <c r="D18" i="18"/>
  <c r="H16" i="18"/>
  <c r="D15" i="18"/>
  <c r="H13" i="18"/>
  <c r="H27" i="17"/>
  <c r="D26" i="17"/>
  <c r="H24" i="17"/>
  <c r="D23" i="17"/>
  <c r="H21" i="17"/>
  <c r="D20" i="17"/>
  <c r="H18" i="17"/>
  <c r="D17" i="17"/>
  <c r="H15" i="17"/>
  <c r="D14" i="17"/>
  <c r="C23" i="24"/>
  <c r="D22" i="23"/>
  <c r="C25" i="22"/>
  <c r="H19" i="22"/>
  <c r="D15" i="22"/>
  <c r="C24" i="21"/>
  <c r="H19" i="21"/>
  <c r="H16" i="21"/>
  <c r="H13" i="21"/>
  <c r="D25" i="20"/>
  <c r="D22" i="20"/>
  <c r="D19" i="20"/>
  <c r="D16" i="20"/>
  <c r="D13" i="20"/>
  <c r="C21" i="19"/>
  <c r="C24" i="18"/>
  <c r="C21" i="18"/>
  <c r="C18" i="18"/>
  <c r="C15" i="18"/>
  <c r="C26" i="17"/>
  <c r="C23" i="17"/>
  <c r="G21" i="17"/>
  <c r="C20" i="17"/>
  <c r="C27" i="18"/>
  <c r="C19" i="18"/>
  <c r="C16" i="18"/>
  <c r="J39" i="7"/>
  <c r="G31" i="29" s="1"/>
  <c r="J64" i="7"/>
  <c r="J65" i="7"/>
  <c r="J25" i="7"/>
  <c r="G18" i="29" s="1"/>
  <c r="J11" i="7"/>
  <c r="A11" i="7"/>
  <c r="G60" i="26" l="1"/>
  <c r="G15" i="29"/>
  <c r="G35" i="19"/>
  <c r="G16" i="23"/>
  <c r="G22" i="24"/>
  <c r="G14" i="22"/>
  <c r="G14" i="24"/>
  <c r="G14" i="20"/>
  <c r="G13" i="27"/>
  <c r="G22" i="22"/>
  <c r="G22" i="18"/>
  <c r="G14" i="17"/>
  <c r="G22" i="17"/>
  <c r="G14" i="21"/>
  <c r="G14" i="23"/>
  <c r="G15" i="25"/>
  <c r="G21" i="27"/>
  <c r="G46" i="26"/>
  <c r="G22" i="21"/>
  <c r="G14" i="18"/>
  <c r="G22" i="20"/>
  <c r="C5" i="2"/>
  <c r="D5" i="2"/>
  <c r="G5" i="2"/>
  <c r="H5" i="2"/>
  <c r="D29" i="2" l="1"/>
  <c r="C29" i="2"/>
  <c r="H29" i="2"/>
  <c r="D25" i="2"/>
  <c r="H20" i="2"/>
  <c r="C20" i="2"/>
  <c r="C25" i="2"/>
  <c r="D20" i="2"/>
  <c r="H25" i="2"/>
  <c r="D18" i="2"/>
  <c r="C18" i="2"/>
  <c r="H18" i="2"/>
  <c r="C28" i="2"/>
  <c r="H28" i="2"/>
  <c r="D28" i="2"/>
  <c r="J33" i="7"/>
  <c r="J5" i="7"/>
  <c r="J7" i="7"/>
  <c r="J8" i="7"/>
  <c r="J6" i="7"/>
  <c r="J17" i="7"/>
  <c r="J32" i="7"/>
  <c r="J61" i="7"/>
  <c r="J34" i="7"/>
  <c r="J42" i="7"/>
  <c r="J27" i="7"/>
  <c r="J48" i="7"/>
  <c r="J55" i="7"/>
  <c r="J26" i="7"/>
  <c r="J50" i="7"/>
  <c r="J44" i="7"/>
  <c r="J29" i="7"/>
  <c r="J24" i="7"/>
  <c r="J63" i="7"/>
  <c r="G18" i="25" s="1"/>
  <c r="J54" i="7"/>
  <c r="G56" i="26" s="1"/>
  <c r="J49" i="7"/>
  <c r="G16" i="2" s="1"/>
  <c r="J57" i="7"/>
  <c r="J59" i="7"/>
  <c r="G28" i="2"/>
  <c r="J36" i="7"/>
  <c r="G27" i="23" l="1"/>
  <c r="G32" i="25"/>
  <c r="G62" i="26"/>
  <c r="G34" i="29"/>
  <c r="G20" i="29"/>
  <c r="G17" i="2"/>
  <c r="G25" i="23"/>
  <c r="G34" i="25"/>
  <c r="G26" i="23"/>
  <c r="G16" i="25"/>
  <c r="G13" i="20"/>
  <c r="G13" i="18"/>
  <c r="G47" i="26"/>
  <c r="G13" i="22"/>
  <c r="G13" i="21"/>
  <c r="G13" i="17"/>
  <c r="G16" i="19"/>
  <c r="G13" i="24"/>
  <c r="G18" i="24"/>
  <c r="G18" i="20"/>
  <c r="G17" i="27"/>
  <c r="G18" i="22"/>
  <c r="G21" i="19"/>
  <c r="G18" i="18"/>
  <c r="G18" i="17"/>
  <c r="G18" i="21"/>
  <c r="G22" i="23"/>
  <c r="G16" i="22"/>
  <c r="G16" i="24"/>
  <c r="G16" i="21"/>
  <c r="G21" i="23"/>
  <c r="G15" i="27"/>
  <c r="G16" i="17"/>
  <c r="G27" i="29"/>
  <c r="G16" i="20"/>
  <c r="G16" i="18"/>
  <c r="G29" i="2"/>
  <c r="G35" i="29"/>
  <c r="G26" i="27"/>
  <c r="G27" i="22"/>
  <c r="G27" i="17"/>
  <c r="G27" i="18"/>
  <c r="G33" i="25"/>
  <c r="G27" i="21"/>
  <c r="G27" i="20"/>
  <c r="G27" i="24"/>
  <c r="G25" i="2"/>
  <c r="G19" i="19"/>
  <c r="G18" i="23"/>
  <c r="G20" i="18"/>
  <c r="G20" i="21"/>
  <c r="G20" i="17"/>
  <c r="G20" i="22"/>
  <c r="G20" i="24"/>
  <c r="G19" i="27"/>
  <c r="G20" i="20"/>
  <c r="G34" i="19"/>
  <c r="G15" i="23"/>
  <c r="G15" i="20"/>
  <c r="G14" i="27"/>
  <c r="G15" i="22"/>
  <c r="G15" i="18"/>
  <c r="G15" i="17"/>
  <c r="G15" i="24"/>
  <c r="G15" i="21"/>
  <c r="G20" i="2"/>
  <c r="G19" i="21"/>
  <c r="G19" i="17"/>
  <c r="G25" i="29"/>
  <c r="G19" i="20"/>
  <c r="G19" i="18"/>
  <c r="G53" i="26"/>
  <c r="G19" i="22"/>
  <c r="G19" i="24"/>
  <c r="G23" i="23"/>
  <c r="G18" i="27"/>
  <c r="G22" i="19"/>
  <c r="G25" i="21"/>
  <c r="G24" i="27"/>
  <c r="G25" i="17"/>
  <c r="G24" i="23"/>
  <c r="G25" i="22"/>
  <c r="G25" i="18"/>
  <c r="G28" i="25"/>
  <c r="G25" i="20"/>
  <c r="G29" i="29"/>
  <c r="G25" i="24"/>
  <c r="G23" i="24"/>
  <c r="G58" i="26"/>
  <c r="G23" i="21"/>
  <c r="G23" i="17"/>
  <c r="G22" i="27"/>
  <c r="G23" i="20"/>
  <c r="G29" i="19"/>
  <c r="G23" i="18"/>
  <c r="G23" i="22"/>
  <c r="G24" i="22"/>
  <c r="G24" i="17"/>
  <c r="G23" i="27"/>
  <c r="G24" i="18"/>
  <c r="G24" i="24"/>
  <c r="G64" i="26"/>
  <c r="G24" i="20"/>
  <c r="G24" i="21"/>
  <c r="G17" i="23"/>
  <c r="G18" i="2"/>
  <c r="G21" i="25"/>
  <c r="G20" i="23"/>
  <c r="G17" i="18"/>
  <c r="G16" i="27"/>
  <c r="G17" i="20"/>
  <c r="G21" i="29"/>
  <c r="G17" i="24"/>
  <c r="G17" i="22"/>
  <c r="G51" i="26"/>
  <c r="G17" i="21"/>
  <c r="G17" i="17"/>
  <c r="A6" i="7"/>
  <c r="A8" i="7" l="1"/>
  <c r="A7" i="7"/>
  <c r="A5" i="7"/>
  <c r="H9" i="27" l="1"/>
  <c r="D8" i="27"/>
  <c r="D42" i="26"/>
  <c r="H40" i="26"/>
  <c r="H11" i="25"/>
  <c r="G9" i="27"/>
  <c r="C8" i="27"/>
  <c r="C42" i="26"/>
  <c r="G40" i="26"/>
  <c r="G11" i="25"/>
  <c r="H7" i="29"/>
  <c r="H10" i="27"/>
  <c r="D9" i="27"/>
  <c r="H41" i="26"/>
  <c r="G7" i="29"/>
  <c r="G10" i="27"/>
  <c r="C9" i="27"/>
  <c r="G41" i="26"/>
  <c r="C40" i="26"/>
  <c r="D7" i="29"/>
  <c r="D10" i="27"/>
  <c r="H8" i="27"/>
  <c r="H42" i="26"/>
  <c r="D41" i="26"/>
  <c r="D8" i="25"/>
  <c r="D10" i="24"/>
  <c r="H8" i="24"/>
  <c r="H10" i="23"/>
  <c r="D9" i="23"/>
  <c r="C41" i="26"/>
  <c r="D9" i="24"/>
  <c r="H9" i="23"/>
  <c r="C8" i="23"/>
  <c r="C10" i="22"/>
  <c r="G8" i="22"/>
  <c r="G10" i="21"/>
  <c r="C9" i="21"/>
  <c r="C10" i="27"/>
  <c r="D40" i="26"/>
  <c r="H8" i="25"/>
  <c r="H10" i="24"/>
  <c r="C9" i="24"/>
  <c r="G9" i="23"/>
  <c r="H9" i="22"/>
  <c r="D8" i="22"/>
  <c r="G8" i="27"/>
  <c r="G8" i="25"/>
  <c r="G10" i="24"/>
  <c r="G8" i="24"/>
  <c r="C7" i="29"/>
  <c r="C8" i="25"/>
  <c r="C10" i="24"/>
  <c r="D8" i="24"/>
  <c r="G10" i="23"/>
  <c r="H8" i="23"/>
  <c r="H10" i="22"/>
  <c r="D9" i="22"/>
  <c r="H9" i="21"/>
  <c r="D8" i="21"/>
  <c r="D10" i="20"/>
  <c r="H8" i="20"/>
  <c r="H11" i="19"/>
  <c r="D9" i="19"/>
  <c r="D11" i="25"/>
  <c r="H9" i="24"/>
  <c r="C8" i="24"/>
  <c r="D10" i="23"/>
  <c r="G8" i="23"/>
  <c r="G10" i="22"/>
  <c r="C9" i="22"/>
  <c r="G9" i="21"/>
  <c r="C8" i="21"/>
  <c r="C10" i="20"/>
  <c r="G8" i="20"/>
  <c r="G11" i="19"/>
  <c r="C9" i="19"/>
  <c r="C10" i="23"/>
  <c r="C8" i="22"/>
  <c r="G8" i="21"/>
  <c r="H10" i="20"/>
  <c r="D8" i="20"/>
  <c r="H8" i="19"/>
  <c r="H9" i="18"/>
  <c r="D8" i="18"/>
  <c r="D10" i="17"/>
  <c r="H8" i="17"/>
  <c r="G8" i="17"/>
  <c r="G42" i="26"/>
  <c r="C9" i="23"/>
  <c r="H10" i="21"/>
  <c r="G10" i="20"/>
  <c r="C8" i="20"/>
  <c r="G8" i="19"/>
  <c r="D8" i="23"/>
  <c r="D10" i="21"/>
  <c r="H9" i="20"/>
  <c r="D11" i="19"/>
  <c r="D8" i="19"/>
  <c r="H10" i="18"/>
  <c r="D9" i="18"/>
  <c r="H9" i="17"/>
  <c r="D8" i="17"/>
  <c r="D10" i="22"/>
  <c r="C10" i="21"/>
  <c r="G9" i="20"/>
  <c r="C11" i="19"/>
  <c r="C8" i="19"/>
  <c r="G10" i="18"/>
  <c r="C9" i="18"/>
  <c r="G9" i="17"/>
  <c r="C8" i="17"/>
  <c r="C9" i="17"/>
  <c r="C8" i="18"/>
  <c r="C11" i="25"/>
  <c r="G9" i="22"/>
  <c r="D9" i="21"/>
  <c r="D9" i="20"/>
  <c r="H9" i="19"/>
  <c r="D10" i="18"/>
  <c r="H8" i="18"/>
  <c r="H10" i="17"/>
  <c r="D9" i="17"/>
  <c r="G9" i="24"/>
  <c r="H8" i="22"/>
  <c r="H8" i="21"/>
  <c r="C9" i="20"/>
  <c r="G9" i="19"/>
  <c r="C10" i="18"/>
  <c r="G8" i="18"/>
  <c r="G10" i="17"/>
  <c r="G9" i="18"/>
  <c r="C10" i="17"/>
  <c r="D9" i="2"/>
  <c r="G9" i="2"/>
  <c r="H9" i="2"/>
  <c r="C9" i="2"/>
  <c r="A17" i="7"/>
  <c r="D4" i="25" l="1"/>
  <c r="C4" i="25"/>
  <c r="C5" i="19"/>
  <c r="G4" i="25"/>
  <c r="D5" i="19"/>
  <c r="H4" i="25"/>
  <c r="G5" i="19"/>
  <c r="H4" i="27"/>
  <c r="G4" i="27"/>
  <c r="D4" i="27"/>
  <c r="C4" i="27"/>
  <c r="D4" i="23"/>
  <c r="C4" i="24"/>
  <c r="G4" i="23"/>
  <c r="C4" i="21"/>
  <c r="C4" i="23"/>
  <c r="H4" i="22"/>
  <c r="H4" i="24"/>
  <c r="D4" i="22"/>
  <c r="H4" i="21"/>
  <c r="G4" i="24"/>
  <c r="C4" i="22"/>
  <c r="G4" i="21"/>
  <c r="H4" i="20"/>
  <c r="H4" i="18"/>
  <c r="G4" i="18"/>
  <c r="H4" i="23"/>
  <c r="G4" i="20"/>
  <c r="D4" i="20"/>
  <c r="D4" i="18"/>
  <c r="H4" i="17"/>
  <c r="C4" i="20"/>
  <c r="C4" i="18"/>
  <c r="G4" i="17"/>
  <c r="C4" i="17"/>
  <c r="D4" i="24"/>
  <c r="D4" i="17"/>
  <c r="G4" i="22"/>
  <c r="D4" i="21"/>
  <c r="G4" i="2"/>
  <c r="H4" i="2"/>
  <c r="D4" i="2"/>
  <c r="D23" i="2"/>
  <c r="G23" i="2"/>
  <c r="C4" i="2"/>
  <c r="H23" i="2"/>
  <c r="C23" i="2"/>
  <c r="N5" i="3" l="1"/>
  <c r="D48" i="3"/>
  <c r="E48" i="3"/>
  <c r="D49" i="3"/>
  <c r="E49" i="3"/>
  <c r="D50" i="3"/>
  <c r="E50" i="3"/>
  <c r="D51" i="3"/>
  <c r="E51" i="3"/>
  <c r="D54" i="3"/>
  <c r="E54" i="3"/>
  <c r="F54" i="3"/>
  <c r="G54" i="3"/>
  <c r="H54" i="3"/>
  <c r="D55" i="3"/>
  <c r="E55" i="3"/>
  <c r="F55" i="3"/>
  <c r="G55" i="3"/>
  <c r="H55" i="3"/>
  <c r="D56" i="3"/>
  <c r="E56" i="3"/>
  <c r="F56" i="3"/>
  <c r="G56" i="3"/>
  <c r="H56" i="3"/>
  <c r="D57" i="3"/>
  <c r="E57" i="3"/>
  <c r="F57" i="3"/>
  <c r="G57" i="3"/>
  <c r="H57" i="3"/>
  <c r="D58" i="3"/>
  <c r="E58" i="3"/>
  <c r="F58" i="3"/>
  <c r="G58" i="3"/>
  <c r="H58" i="3"/>
  <c r="D59" i="3"/>
  <c r="E59" i="3"/>
  <c r="F59" i="3"/>
  <c r="G59" i="3"/>
  <c r="H59" i="3"/>
  <c r="D60" i="3"/>
  <c r="E60" i="3"/>
  <c r="F60" i="3"/>
  <c r="G60" i="3"/>
  <c r="H60" i="3"/>
  <c r="D61" i="3"/>
  <c r="E61" i="3"/>
  <c r="F61" i="3"/>
  <c r="G61" i="3"/>
  <c r="H61" i="3"/>
  <c r="D62" i="3"/>
  <c r="E62" i="3"/>
  <c r="F62" i="3"/>
  <c r="G62" i="3"/>
  <c r="H62" i="3"/>
  <c r="D63" i="3"/>
  <c r="E63" i="3"/>
  <c r="F63" i="3"/>
  <c r="G63" i="3"/>
  <c r="H63" i="3"/>
  <c r="D64" i="3"/>
  <c r="E64" i="3"/>
  <c r="F64" i="3"/>
  <c r="G64" i="3"/>
  <c r="H64" i="3"/>
  <c r="D79" i="3"/>
  <c r="E79" i="3"/>
  <c r="F79" i="3"/>
  <c r="G79" i="3"/>
  <c r="H79" i="3"/>
  <c r="D80" i="3"/>
  <c r="E80" i="3"/>
  <c r="F80" i="3"/>
  <c r="G80" i="3"/>
  <c r="H80" i="3"/>
  <c r="D81" i="3"/>
  <c r="E81" i="3"/>
  <c r="F81" i="3"/>
  <c r="G81" i="3"/>
  <c r="H81" i="3"/>
  <c r="D82" i="3"/>
  <c r="E82" i="3"/>
  <c r="F82" i="3"/>
  <c r="G82" i="3"/>
  <c r="H82" i="3"/>
  <c r="D83" i="3"/>
  <c r="E83" i="3"/>
  <c r="F83" i="3"/>
  <c r="G83" i="3"/>
  <c r="H83" i="3"/>
  <c r="D84" i="3"/>
  <c r="E84" i="3"/>
  <c r="F84" i="3"/>
  <c r="G84" i="3"/>
  <c r="H84" i="3"/>
  <c r="C87" i="3"/>
  <c r="D87" i="3"/>
  <c r="E87" i="3"/>
  <c r="F87" i="3"/>
  <c r="C88" i="3"/>
  <c r="D88" i="3"/>
  <c r="E88" i="3"/>
  <c r="F88" i="3"/>
  <c r="C89" i="3"/>
  <c r="D89" i="3"/>
  <c r="E89" i="3"/>
  <c r="F89" i="3"/>
  <c r="C90" i="3"/>
  <c r="D90" i="3"/>
  <c r="E90" i="3"/>
  <c r="F90" i="3"/>
  <c r="C91" i="3"/>
  <c r="D91" i="3"/>
  <c r="E91" i="3"/>
  <c r="F91" i="3"/>
  <c r="C92" i="3"/>
  <c r="D92" i="3"/>
  <c r="E92" i="3"/>
  <c r="F92" i="3"/>
</calcChain>
</file>

<file path=xl/sharedStrings.xml><?xml version="1.0" encoding="utf-8"?>
<sst xmlns="http://schemas.openxmlformats.org/spreadsheetml/2006/main" count="2973" uniqueCount="503">
  <si>
    <t xml:space="preserve"> +AA1:K68</t>
  </si>
  <si>
    <t>HUILES</t>
  </si>
  <si>
    <t>Outil conversion mg/g en mg/ml</t>
  </si>
  <si>
    <t>Nom</t>
  </si>
  <si>
    <t>Marque</t>
  </si>
  <si>
    <t>Format</t>
  </si>
  <si>
    <t>Prix</t>
  </si>
  <si>
    <t>THC (mg/ml)</t>
  </si>
  <si>
    <t>CBD (mg/ml)</t>
  </si>
  <si>
    <t>THC Total</t>
  </si>
  <si>
    <t>Poid net</t>
  </si>
  <si>
    <t>Volume</t>
  </si>
  <si>
    <t>mg/ml</t>
  </si>
  <si>
    <t>Indica 450:450</t>
  </si>
  <si>
    <t>CBD25:5</t>
  </si>
  <si>
    <t>CBD50</t>
  </si>
  <si>
    <t>THC 30:0</t>
  </si>
  <si>
    <t>Huille Riche en THC</t>
  </si>
  <si>
    <t>Mix3</t>
  </si>
  <si>
    <t>Rosée Nordique</t>
  </si>
  <si>
    <t>Huile Harmoniseuse 15:15</t>
  </si>
  <si>
    <t>Harmoniser</t>
  </si>
  <si>
    <t>CBD 1500</t>
  </si>
  <si>
    <t>CBD 1500 (Tyche)</t>
  </si>
  <si>
    <t>Huile de CBD (QC)</t>
  </si>
  <si>
    <t>CBD 250</t>
  </si>
  <si>
    <t>Huile Riche en CBD</t>
  </si>
  <si>
    <t>Libérer</t>
  </si>
  <si>
    <t>GELLULES</t>
  </si>
  <si>
    <t>THC (mg)</t>
  </si>
  <si>
    <t>CBD (mg)</t>
  </si>
  <si>
    <t>Argyle 10mg - Nordle</t>
  </si>
  <si>
    <t>Gems 5:0</t>
  </si>
  <si>
    <t>Penelope 2,5mg - Skunk Haze (Sativa)</t>
  </si>
  <si>
    <t>Gélules CBD</t>
  </si>
  <si>
    <t>Tweed CBD 20mg</t>
  </si>
  <si>
    <t>CBD Cap 25</t>
  </si>
  <si>
    <t>CBD 1500 - Katani</t>
  </si>
  <si>
    <t>CBD 750 - Katani</t>
  </si>
  <si>
    <t>ATOMISEURS</t>
  </si>
  <si>
    <t>THC</t>
  </si>
  <si>
    <t>CBD</t>
  </si>
  <si>
    <t>Twd. Indica</t>
  </si>
  <si>
    <t>Indica 300:300</t>
  </si>
  <si>
    <t>Sativa 500</t>
  </si>
  <si>
    <t>Twd. Sativa</t>
  </si>
  <si>
    <t>Penelope - Skunk Haze</t>
  </si>
  <si>
    <t>CBD 1000</t>
  </si>
  <si>
    <t>Atomiseur CBD 750mg -</t>
  </si>
  <si>
    <t>Atomiseur CBD</t>
  </si>
  <si>
    <t>Thé camomille apaisante</t>
  </si>
  <si>
    <t>Thé vert décaf pêche gingembre</t>
  </si>
  <si>
    <t>Tisane lavande camomille</t>
  </si>
  <si>
    <t>Thé harmonie hibiscus et maté (2)</t>
  </si>
  <si>
    <t>Agrumes 5</t>
  </si>
  <si>
    <t>Mangue et Ananas</t>
  </si>
  <si>
    <t>Première Date</t>
  </si>
  <si>
    <t>Limonade à l'eau de Rose</t>
  </si>
  <si>
    <t>Melon d'eau et Menthe</t>
  </si>
  <si>
    <t>Tonique pétillant au pinène</t>
  </si>
  <si>
    <t>Tonique pétillant au valancène</t>
  </si>
  <si>
    <t>Tonique pétillant au limonène</t>
  </si>
  <si>
    <t>Tonique pétillant au myrcène</t>
  </si>
  <si>
    <t>Mollo 5</t>
  </si>
  <si>
    <t>Mollo 5 Lime</t>
  </si>
  <si>
    <t>Tweed Fizz Mangue</t>
  </si>
  <si>
    <t>Tweed Fizz Melon d'eau</t>
  </si>
  <si>
    <t>Tweed Fizz Cerise</t>
  </si>
  <si>
    <t>Orange sanguine pétillante</t>
  </si>
  <si>
    <t>Cerise noire pétillante</t>
  </si>
  <si>
    <t>Thé glacé vert au miel</t>
  </si>
  <si>
    <t>Thé glacé noir au citron</t>
  </si>
  <si>
    <t>Mollo 2.5</t>
  </si>
  <si>
    <t>Bleuet + Acai</t>
  </si>
  <si>
    <t>Bakerstreet &amp; Gingembre</t>
  </si>
  <si>
    <t>Houndstooth &amp; Soda</t>
  </si>
  <si>
    <t>Eau pétillante fraise hibiscus</t>
  </si>
  <si>
    <t>Eau pétillante au Pamplemousse</t>
  </si>
  <si>
    <t>Eau pétillante à la Fraise</t>
  </si>
  <si>
    <t>Fruit de la passion + Goyave</t>
  </si>
  <si>
    <t>Concombre + Menthe</t>
  </si>
  <si>
    <t>Canneberge Honeycrisp</t>
  </si>
  <si>
    <t>Citron et Lime</t>
  </si>
  <si>
    <t>Fruit du dragon et melon d'eau</t>
  </si>
  <si>
    <t>Mangue et fruit de la passion</t>
  </si>
  <si>
    <t>984 mg/g</t>
  </si>
  <si>
    <t>Isolat de CBD</t>
  </si>
  <si>
    <t>-</t>
  </si>
  <si>
    <t>62,5 mg/g</t>
  </si>
  <si>
    <t>CBD Decarb</t>
  </si>
  <si>
    <t>13 mg/g</t>
  </si>
  <si>
    <t>Detente</t>
  </si>
  <si>
    <t>Poudre THC soluble (2)</t>
  </si>
  <si>
    <t>5 mg</t>
  </si>
  <si>
    <t>Poudre THC:CBD Soluble(Edison)</t>
  </si>
  <si>
    <t>10 mg</t>
  </si>
  <si>
    <t>Poudre CBD Soluble(Edison)</t>
  </si>
  <si>
    <t>Comment ca marche</t>
  </si>
  <si>
    <t>Ajouter une ligne</t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</si>
  <si>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>Sélectionner une cellule</t>
    </r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</si>
  <si>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>Cliquer sur Ajouter ligne et la ligne s’ajoutera au-dessus de votre sélection</t>
    </r>
  </si>
  <si>
    <t>* Évitez l’ajout d’une ligne directement sous les titres</t>
  </si>
  <si>
    <t>Supprimer une ligne</t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</si>
  <si>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>Sélectionner le numéro de la ligne à supprimer</t>
    </r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</si>
  <si>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>Clique droite</t>
    </r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</si>
  <si>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>Supprimer</t>
    </r>
  </si>
  <si>
    <t>*Ne pas supprimer la dernière ligne des tableaux</t>
  </si>
  <si>
    <t>Ajouter des produits</t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</si>
  <si>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>Sélectionner dans la liste déroulante correspondante le produit (Colonne nom)</t>
    </r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</si>
  <si>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>Une fois tous vos produits entrés, cliqués sur « Triés » et les produits se classeront par THC et CBD</t>
    </r>
  </si>
  <si>
    <t>Impression</t>
  </si>
  <si>
    <r>
      <t xml:space="preserve">             -</t>
    </r>
    <r>
      <rPr>
        <sz val="7"/>
        <color rgb="FF000000"/>
        <rFont val="Times New Roman"/>
        <family val="1"/>
      </rPr>
      <t>          C</t>
    </r>
    <r>
      <rPr>
        <sz val="11"/>
        <color rgb="FF000000"/>
        <rFont val="Calibri"/>
        <family val="2"/>
        <scheme val="minor"/>
      </rPr>
      <t xml:space="preserve">liquer sur imprimer </t>
    </r>
  </si>
  <si>
    <r>
      <t>-</t>
    </r>
    <r>
      <rPr>
        <sz val="7"/>
        <color rgb="FF000000"/>
        <rFont val="Times New Roman"/>
        <family val="1"/>
      </rPr>
      <t xml:space="preserve">          </t>
    </r>
    <r>
      <rPr>
        <sz val="11"/>
        <color rgb="FF000000"/>
        <rFont val="Calibri"/>
        <family val="2"/>
        <scheme val="minor"/>
      </rPr>
      <t xml:space="preserve">L’impression se fera sur une feuille 8.5 X 11 </t>
    </r>
  </si>
  <si>
    <t>À NE PAS FAIRE DANS LES MENUS</t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</si>
  <si>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Supprimer la dernière ligne du tableau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</si>
  <si>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Changer la police d’écriture (Gilroy est la police utilisé par la SQDC)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</si>
  <si>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Inscrire des données dans les colonnes FORMATS, MARQUES, PRIX, CULTIVÉ QC, COULEUR EXTERNE ET TEXTURE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</si>
  <si>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Ne pas ouvrir le fichier sur web, mais plutôt application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</si>
  <si>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Si vous avez le fichier en dehors du travail s’assurer de l’ouvrir à partir d’Excel</t>
    </r>
  </si>
  <si>
    <t>Pour toute question écrire à Frédéric Derome</t>
  </si>
  <si>
    <t>FLEURS 3,5g Équilibrées / CBD</t>
  </si>
  <si>
    <t>Indica</t>
  </si>
  <si>
    <t>Arômes</t>
  </si>
  <si>
    <t>Cultivé Qc</t>
  </si>
  <si>
    <t>CBD OG Kush</t>
  </si>
  <si>
    <t>Sativa</t>
  </si>
  <si>
    <t>Super Lemon Haze Biologique</t>
  </si>
  <si>
    <t>Apples &amp; Cream - Apples and Cream</t>
  </si>
  <si>
    <t>Libérer - Treasure Island</t>
  </si>
  <si>
    <t>Hybride</t>
  </si>
  <si>
    <t>Nom (Dominance)</t>
  </si>
  <si>
    <t>CBD Runtz (Sativa)</t>
  </si>
  <si>
    <t>Apricot Cream X Cheese 1:1 (Sativa)</t>
  </si>
  <si>
    <t>Purple Mountain Majesty (Indica)</t>
  </si>
  <si>
    <t>BC Harlequin Biologique - Harlequin (Sativa)</t>
  </si>
  <si>
    <t>L'Entre Deux - 91K x CBD OG Kush</t>
  </si>
  <si>
    <t>Pennywise 1:1</t>
  </si>
  <si>
    <t>Harmoniser - Nordle</t>
  </si>
  <si>
    <t>Intersection Équilibrée - Mélange</t>
  </si>
  <si>
    <t>Twd. Balanced - En rotation</t>
  </si>
  <si>
    <t>Redecan 1:1 - En rotation</t>
  </si>
  <si>
    <t>Mango Haze (Sativa)</t>
  </si>
  <si>
    <t>Mango</t>
  </si>
  <si>
    <t>Mandarine Sugar - Deep Mandarine</t>
  </si>
  <si>
    <t>Cannatonic</t>
  </si>
  <si>
    <t>BC Canna Bliss</t>
  </si>
  <si>
    <t>Juste CBD - En rotation</t>
  </si>
  <si>
    <t>ACDC (Indica)</t>
  </si>
  <si>
    <t>Grasse Matinée - En rotation</t>
  </si>
  <si>
    <t>CBD Sol Vivant - En rotation</t>
  </si>
  <si>
    <t>Fleur de Lune - En rotation</t>
  </si>
  <si>
    <t>CBD Moulu - Mélange</t>
  </si>
  <si>
    <t>FLEURS Équilibrées / CBD</t>
  </si>
  <si>
    <t>LSO 1:1 - En rotation</t>
  </si>
  <si>
    <t>BC CBD Critical Mass (Indica)</t>
  </si>
  <si>
    <t>Interlude (Sativa)</t>
  </si>
  <si>
    <t>CBD God Bud (Indica)</t>
  </si>
  <si>
    <t>Painted Lady</t>
  </si>
  <si>
    <t>Peach Sumo</t>
  </si>
  <si>
    <t>Stinky Pinky</t>
  </si>
  <si>
    <t>Molten Core 1:1 - Molten Core</t>
  </si>
  <si>
    <t>Cherry Blossom (Indica)</t>
  </si>
  <si>
    <t>CBD Charlotte Angel Biologique - CBD Charlotte Angel (Sativa)</t>
  </si>
  <si>
    <t>Rêve Lucide - Charlotte's Dream</t>
  </si>
  <si>
    <t>Feeldoux - En rotation</t>
  </si>
  <si>
    <t>Long Valley Legend</t>
  </si>
  <si>
    <t>Redecan CBD - En rotation</t>
  </si>
  <si>
    <t>Nom - Génétique</t>
  </si>
  <si>
    <t>Nom produit</t>
  </si>
  <si>
    <t>Code-barres</t>
  </si>
  <si>
    <t>Cultivé au Québec</t>
  </si>
  <si>
    <t>Espèce</t>
  </si>
  <si>
    <t>Dominance Hybride (ds)</t>
  </si>
  <si>
    <t>Variété</t>
  </si>
  <si>
    <t>Terpène dominant</t>
  </si>
  <si>
    <t>Arôme1</t>
  </si>
  <si>
    <t>Arôme 2</t>
  </si>
  <si>
    <t>Apples &amp; Cream</t>
  </si>
  <si>
    <t>671148904118</t>
  </si>
  <si>
    <t>Apples and Cream</t>
  </si>
  <si>
    <t>Trailblazer</t>
  </si>
  <si>
    <t>Myrcène</t>
  </si>
  <si>
    <t>Fruité</t>
  </si>
  <si>
    <t>Sucré</t>
  </si>
  <si>
    <t>3,5 g</t>
  </si>
  <si>
    <t>Colorado Cherry</t>
  </si>
  <si>
    <t>628634303276</t>
  </si>
  <si>
    <t>Qc</t>
  </si>
  <si>
    <t>Bleuh Light</t>
  </si>
  <si>
    <t>Caryophyllène</t>
  </si>
  <si>
    <t>Épicé</t>
  </si>
  <si>
    <t>Dancehall</t>
  </si>
  <si>
    <t>841432010010</t>
  </si>
  <si>
    <t>Spinach</t>
  </si>
  <si>
    <t>694144000219</t>
  </si>
  <si>
    <t>Treasure Island</t>
  </si>
  <si>
    <t>Solei</t>
  </si>
  <si>
    <t>Pinène</t>
  </si>
  <si>
    <t>Mouffette</t>
  </si>
  <si>
    <t>Terroir</t>
  </si>
  <si>
    <t>Boisé</t>
  </si>
  <si>
    <t>Rêve Lucide</t>
  </si>
  <si>
    <t>Charlotte's Dream</t>
  </si>
  <si>
    <t>Nueva+</t>
  </si>
  <si>
    <t>Citronné</t>
  </si>
  <si>
    <t>Wio</t>
  </si>
  <si>
    <t>Superfleur Équilibrée 1:1</t>
  </si>
  <si>
    <t>Super Lemon Haze</t>
  </si>
  <si>
    <t>Touriste Violette</t>
  </si>
  <si>
    <t>Terpinolène</t>
  </si>
  <si>
    <t>688083012259</t>
  </si>
  <si>
    <t>Vert</t>
  </si>
  <si>
    <t>*Bientôt Retiré | CBD Charlotte Angel Biologique</t>
  </si>
  <si>
    <t>CBD Charlotte Angel</t>
  </si>
  <si>
    <t>Terreux</t>
  </si>
  <si>
    <t>*Bientôt Retiré | Oregon Coast CBD</t>
  </si>
  <si>
    <t>628634099926</t>
  </si>
  <si>
    <t>Oregon Coast CBD</t>
  </si>
  <si>
    <t>5 Points Cannabis</t>
  </si>
  <si>
    <t>Floral</t>
  </si>
  <si>
    <t>ACDC</t>
  </si>
  <si>
    <t>814559000394</t>
  </si>
  <si>
    <t>XK</t>
  </si>
  <si>
    <t>Apricot Cream X Cheese 1:1</t>
  </si>
  <si>
    <t>Clem &amp; Co</t>
  </si>
  <si>
    <t>675136000806</t>
  </si>
  <si>
    <t>Canna Farms</t>
  </si>
  <si>
    <t>BC CBD Critical Mass</t>
  </si>
  <si>
    <t>675136000523</t>
  </si>
  <si>
    <t>BC Harlequin Biologique</t>
  </si>
  <si>
    <t>Harlequin</t>
  </si>
  <si>
    <t>Simply Bare</t>
  </si>
  <si>
    <t>820939002599</t>
  </si>
  <si>
    <t>Promenade</t>
  </si>
  <si>
    <t>CBD Charlotte Angel Biologique</t>
  </si>
  <si>
    <t>CBD God Bud</t>
  </si>
  <si>
    <t>CBD GSC</t>
  </si>
  <si>
    <t>688083009549</t>
  </si>
  <si>
    <t>CBD Girl Scout Cookies</t>
  </si>
  <si>
    <t>Tweed</t>
  </si>
  <si>
    <t>CBD Moulu</t>
  </si>
  <si>
    <t>Mélange</t>
  </si>
  <si>
    <t>De La Ferme</t>
  </si>
  <si>
    <t>FLoral</t>
  </si>
  <si>
    <t>CBD Runtz</t>
  </si>
  <si>
    <t>628124835065</t>
  </si>
  <si>
    <t>Orchid</t>
  </si>
  <si>
    <t>CBD Sol Vivant</t>
  </si>
  <si>
    <t>En rotation</t>
  </si>
  <si>
    <t>Équilibre</t>
  </si>
  <si>
    <t>Cherry Blossom</t>
  </si>
  <si>
    <t>628011336644</t>
  </si>
  <si>
    <t>Velada</t>
  </si>
  <si>
    <t>Feeldoux</t>
  </si>
  <si>
    <t>Charlebois</t>
  </si>
  <si>
    <t>Findlay CBD Moulu</t>
  </si>
  <si>
    <t>Hemp Pharms</t>
  </si>
  <si>
    <t>Fleur de Lune</t>
  </si>
  <si>
    <t>Lunaire</t>
  </si>
  <si>
    <t>Fleurs CBD</t>
  </si>
  <si>
    <t>820939001486</t>
  </si>
  <si>
    <t>Six Lunes</t>
  </si>
  <si>
    <t>Grasse Matinée</t>
  </si>
  <si>
    <t>T'es Dans L'Champ</t>
  </si>
  <si>
    <t>694144000196</t>
  </si>
  <si>
    <t>Nordle</t>
  </si>
  <si>
    <t>Haut CBD</t>
  </si>
  <si>
    <t>628634303122</t>
  </si>
  <si>
    <t>Interlude</t>
  </si>
  <si>
    <t>628242801720</t>
  </si>
  <si>
    <t>Color Cannabis</t>
  </si>
  <si>
    <t>Intersection Équilibrée</t>
  </si>
  <si>
    <t>Juste CBD</t>
  </si>
  <si>
    <t>Cannabiomedic</t>
  </si>
  <si>
    <t>Le Moitié-Moitié</t>
  </si>
  <si>
    <t>Le Sous-Bois Bio</t>
  </si>
  <si>
    <t>628176622156</t>
  </si>
  <si>
    <t>Kizos</t>
  </si>
  <si>
    <t>Limonène</t>
  </si>
  <si>
    <t>L'Entre Deux</t>
  </si>
  <si>
    <t>688083013775</t>
  </si>
  <si>
    <t>91K x CBD OG Kush</t>
  </si>
  <si>
    <t>Diesel</t>
  </si>
  <si>
    <t>Les Fleurs de la Marquise</t>
  </si>
  <si>
    <t>628176622569</t>
  </si>
  <si>
    <t>Umpqua</t>
  </si>
  <si>
    <t>La Seigneurie</t>
  </si>
  <si>
    <t>Ostara</t>
  </si>
  <si>
    <t>LSO 1:1</t>
  </si>
  <si>
    <t>628693106252</t>
  </si>
  <si>
    <t>Fuga</t>
  </si>
  <si>
    <t>Mandarine Sugar</t>
  </si>
  <si>
    <t>Deep Mandarine</t>
  </si>
  <si>
    <t>Bud Lafleur</t>
  </si>
  <si>
    <t>Ocimène</t>
  </si>
  <si>
    <t>628634099032</t>
  </si>
  <si>
    <t>Mango Haze</t>
  </si>
  <si>
    <t>628242801096</t>
  </si>
  <si>
    <t>Molten Core 1:1</t>
  </si>
  <si>
    <t>Molten Core</t>
  </si>
  <si>
    <t>MicroCannabi</t>
  </si>
  <si>
    <t>Momentum</t>
  </si>
  <si>
    <t>814559000387</t>
  </si>
  <si>
    <t>Moon Berry</t>
  </si>
  <si>
    <t>San Rafael '71</t>
  </si>
  <si>
    <t>Nordique Royale</t>
  </si>
  <si>
    <t>820939001684</t>
  </si>
  <si>
    <t>Preissac</t>
  </si>
  <si>
    <t>820939001967</t>
  </si>
  <si>
    <t>DLYS</t>
  </si>
  <si>
    <t>Purple Mountain Majesty</t>
  </si>
  <si>
    <t>628176622200</t>
  </si>
  <si>
    <t>Endo</t>
  </si>
  <si>
    <t>Redecan 1:1</t>
  </si>
  <si>
    <t>Redecan</t>
  </si>
  <si>
    <t>Redecan CBD</t>
  </si>
  <si>
    <t>Shockwave 1:1</t>
  </si>
  <si>
    <t>Shockwave</t>
  </si>
  <si>
    <t>Groupe SûrNaturel</t>
  </si>
  <si>
    <t>Swiss Gold Équilibré</t>
  </si>
  <si>
    <t>Swiss Gold</t>
  </si>
  <si>
    <t>Pure Laine Cannabis</t>
  </si>
  <si>
    <t>Twd. Balanced</t>
  </si>
  <si>
    <t>688083002595</t>
  </si>
  <si>
    <t>Twd.</t>
  </si>
  <si>
    <t>Huiles</t>
  </si>
  <si>
    <t>Arômes2</t>
  </si>
  <si>
    <t>Cathégorie</t>
  </si>
  <si>
    <t>Poids</t>
  </si>
  <si>
    <t>Pur Dew</t>
  </si>
  <si>
    <t>Blissco</t>
  </si>
  <si>
    <t>Bisabolol</t>
  </si>
  <si>
    <t>30 ml</t>
  </si>
  <si>
    <t>Huile</t>
  </si>
  <si>
    <t>Huile 1:5</t>
  </si>
  <si>
    <t>Sugarleaf</t>
  </si>
  <si>
    <t>Huile Équilibrée</t>
  </si>
  <si>
    <t>Figr</t>
  </si>
  <si>
    <t>Huile de CBD</t>
  </si>
  <si>
    <t>PanHash</t>
  </si>
  <si>
    <t>Huile Riche en THC</t>
  </si>
  <si>
    <t>Huile Harmonieuse 15:15</t>
  </si>
  <si>
    <t>CBD25</t>
  </si>
  <si>
    <t>MediPharm Labs</t>
  </si>
  <si>
    <t>Huile Hybride Équilibrée</t>
  </si>
  <si>
    <t>Daily Special</t>
  </si>
  <si>
    <t>Huile CBD Hybride</t>
  </si>
  <si>
    <t>Huile THC Indica</t>
  </si>
  <si>
    <t>Huile THC Sativa</t>
  </si>
  <si>
    <t>Déconnecter</t>
  </si>
  <si>
    <t>Good Supply</t>
  </si>
  <si>
    <t>Harmoniser Plus+ 15:15</t>
  </si>
  <si>
    <t>Libérer Plus+ 1:30</t>
  </si>
  <si>
    <t>CBD DROPS 200</t>
  </si>
  <si>
    <t>Hexo</t>
  </si>
  <si>
    <t>15 ml</t>
  </si>
  <si>
    <t>Sativa 750</t>
  </si>
  <si>
    <t>Dubon</t>
  </si>
  <si>
    <t>20 ml</t>
  </si>
  <si>
    <t>Charlotte's Angel Bio</t>
  </si>
  <si>
    <t>Charlotte's Angel</t>
  </si>
  <si>
    <t>The Green Organic Dutchman</t>
  </si>
  <si>
    <t>Chemdog 30 THC</t>
  </si>
  <si>
    <t>Chemdog</t>
  </si>
  <si>
    <t>Souvenir</t>
  </si>
  <si>
    <t>Sync 25 CBD</t>
  </si>
  <si>
    <t>Island Mist</t>
  </si>
  <si>
    <t>Emerald Health Therapeutics</t>
  </si>
  <si>
    <t>Katani</t>
  </si>
  <si>
    <t>Tyche</t>
  </si>
  <si>
    <t>25 ml</t>
  </si>
  <si>
    <t>QcGoldtech</t>
  </si>
  <si>
    <t>Huile 5:5</t>
  </si>
  <si>
    <t>Huile CBD</t>
  </si>
  <si>
    <t>Fleurons</t>
  </si>
  <si>
    <t>Atomiseurs</t>
  </si>
  <si>
    <t>Atomiseur THC</t>
  </si>
  <si>
    <t>Namaste</t>
  </si>
  <si>
    <t>Atomiseur Oral</t>
  </si>
  <si>
    <t>Penelope</t>
  </si>
  <si>
    <t>Skunk Haze</t>
  </si>
  <si>
    <t>Tweed CBD 20ml</t>
  </si>
  <si>
    <t>Renouer</t>
  </si>
  <si>
    <t>Riff</t>
  </si>
  <si>
    <t>Brume THC 1000</t>
  </si>
  <si>
    <t>7,5 ml</t>
  </si>
  <si>
    <t>CBD 750</t>
  </si>
  <si>
    <t>Gélules</t>
  </si>
  <si>
    <t>628242243094</t>
  </si>
  <si>
    <t>15 unités</t>
  </si>
  <si>
    <t>Gélule</t>
  </si>
  <si>
    <t>628242243285</t>
  </si>
  <si>
    <t>CBD Gems</t>
  </si>
  <si>
    <t>628242243391</t>
  </si>
  <si>
    <t>Gems 5:5</t>
  </si>
  <si>
    <t>628242243483</t>
  </si>
  <si>
    <t>CBD Gems +</t>
  </si>
  <si>
    <t>628451574057</t>
  </si>
  <si>
    <t>Capsules Riche en CBD</t>
  </si>
  <si>
    <t>30 unités</t>
  </si>
  <si>
    <t>628451574255</t>
  </si>
  <si>
    <t>Capsules Harmonieuse 5:5</t>
  </si>
  <si>
    <t>628451574286</t>
  </si>
  <si>
    <t>Capsules Riche en THC</t>
  </si>
  <si>
    <t>628582000975</t>
  </si>
  <si>
    <t>Pink Kush</t>
  </si>
  <si>
    <t>628582000999</t>
  </si>
  <si>
    <t>Delahaze</t>
  </si>
  <si>
    <t>628634303061</t>
  </si>
  <si>
    <t>CBD Cap25</t>
  </si>
  <si>
    <t>629108225148</t>
  </si>
  <si>
    <t>Gélules THC Sativa</t>
  </si>
  <si>
    <t>629108226145</t>
  </si>
  <si>
    <t>Gélules THC Indica</t>
  </si>
  <si>
    <t>629108227142</t>
  </si>
  <si>
    <t>Gélules Équilibrées</t>
  </si>
  <si>
    <t>629108228149</t>
  </si>
  <si>
    <t>688083001093</t>
  </si>
  <si>
    <t>Argyle 10mg</t>
  </si>
  <si>
    <t>688083001192</t>
  </si>
  <si>
    <t>Bakerstreet 10mg</t>
  </si>
  <si>
    <t>Hindu Kush</t>
  </si>
  <si>
    <t>688083001215</t>
  </si>
  <si>
    <t>Bakerstreet 2.5mg</t>
  </si>
  <si>
    <t>688083001376</t>
  </si>
  <si>
    <t>688083001550</t>
  </si>
  <si>
    <t>Houndstooth 10mg</t>
  </si>
  <si>
    <t>Candyland</t>
  </si>
  <si>
    <t>688083001574</t>
  </si>
  <si>
    <t>Houndstooth 2.5mg</t>
  </si>
  <si>
    <t>688083001680</t>
  </si>
  <si>
    <t>Penelope 10mg</t>
  </si>
  <si>
    <t>688083001703</t>
  </si>
  <si>
    <t>Penelope 2.5mg</t>
  </si>
  <si>
    <t>688083003684</t>
  </si>
  <si>
    <t>Tweed CBD 10mg</t>
  </si>
  <si>
    <t>694144003395</t>
  </si>
  <si>
    <t>697238112065</t>
  </si>
  <si>
    <t>Gélules CBD 25 mg</t>
  </si>
  <si>
    <t>697238112072</t>
  </si>
  <si>
    <t>Gélules CBD 10 mg</t>
  </si>
  <si>
    <t>800447000348</t>
  </si>
  <si>
    <t>Capsules Indica</t>
  </si>
  <si>
    <t>Indiva</t>
  </si>
  <si>
    <t>850119000275</t>
  </si>
  <si>
    <t>850119000558</t>
  </si>
  <si>
    <t>Boissons</t>
  </si>
  <si>
    <t>N</t>
  </si>
  <si>
    <t>Dérivé</t>
  </si>
  <si>
    <t>Gingembre + Lime</t>
  </si>
  <si>
    <t>Quatreau</t>
  </si>
  <si>
    <t>355 ml</t>
  </si>
  <si>
    <t>Boisson</t>
  </si>
  <si>
    <t>Bleuet + Açaï</t>
  </si>
  <si>
    <t>Eau Pétillante Fraise Hibiscus</t>
  </si>
  <si>
    <t>Veryvell.</t>
  </si>
  <si>
    <t>Thé Glacé Noir au Citron</t>
  </si>
  <si>
    <t>Thé Glacé Vert au Miel</t>
  </si>
  <si>
    <t>Mollo</t>
  </si>
  <si>
    <t>XMG</t>
  </si>
  <si>
    <t>236 ml</t>
  </si>
  <si>
    <t>Mangue Ananas 5</t>
  </si>
  <si>
    <t>Cerise Noire 5</t>
  </si>
  <si>
    <t>XMG ALT</t>
  </si>
  <si>
    <t>Tonique Pétillant au Limonène</t>
  </si>
  <si>
    <t>House of Terpenes</t>
  </si>
  <si>
    <t>Tonique Pétillant au Myrcène</t>
  </si>
  <si>
    <t>Tonique Pétillant au Pinène</t>
  </si>
  <si>
    <t>Tonique Pétillant au Valencène</t>
  </si>
  <si>
    <t>Orange Sanguine Pétillante</t>
  </si>
  <si>
    <t>Little Victory</t>
  </si>
  <si>
    <t>Cerise Noire Pétillante</t>
  </si>
  <si>
    <t>Lime</t>
  </si>
  <si>
    <t>Little Victory Celtzer</t>
  </si>
  <si>
    <t>Framboise</t>
  </si>
  <si>
    <t>Bedfellows</t>
  </si>
  <si>
    <t>Doppelrädder</t>
  </si>
  <si>
    <t>Citron et lime</t>
  </si>
  <si>
    <t>Everie</t>
  </si>
  <si>
    <t>269 ml</t>
  </si>
  <si>
    <t>Eau Pétillante à la Fraise</t>
  </si>
  <si>
    <t>Eau Pétillante au Pamplemousse</t>
  </si>
  <si>
    <t>Feuille de Pêcher</t>
  </si>
  <si>
    <t>7 Wanders</t>
  </si>
  <si>
    <t>Mûre Lavande</t>
  </si>
  <si>
    <t>HYTN</t>
  </si>
  <si>
    <t>Infusions</t>
  </si>
  <si>
    <t>Mélange de Thé au Curcuma</t>
  </si>
  <si>
    <t>3 unités</t>
  </si>
  <si>
    <t>Infusion</t>
  </si>
  <si>
    <t>Mélange de Café Olé</t>
  </si>
  <si>
    <t>Mélange de Matcha</t>
  </si>
  <si>
    <t>2 unités</t>
  </si>
  <si>
    <t>Thé Rooibos Vanille</t>
  </si>
  <si>
    <t>Thé Vert Décaf Pêche Gingembre</t>
  </si>
  <si>
    <t>Tisane Lavande Camomille</t>
  </si>
  <si>
    <t>Thé à la menthe</t>
  </si>
  <si>
    <t>Thé Vert Zen Sencha</t>
  </si>
  <si>
    <t>TGOD Organics</t>
  </si>
  <si>
    <t>10 unités</t>
  </si>
  <si>
    <t>Thé Camomille Apaisante</t>
  </si>
  <si>
    <t>4 unités</t>
  </si>
  <si>
    <t>Thé Harmonie Hibiscus et Maté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</si>
</sst>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44" formatCode="_ * #,##0.00_)\ &quot;$&quot;_ ;_ * \(#,##0.00\)\ &quot;$&quot;_ ;_ * &quot;-&quot;??_)\ &quot;$&quot;_ ;_ @_ "/>
    <numFmt numFmtId="164" formatCode="#,##0.00\ &quot;$&quot;"/>
    <numFmt numFmtId="165" formatCode="0.0"/>
    <numFmt numFmtId="166" formatCode="#,##0.00\ [$$-40C]"/>
    <numFmt numFmtId="167" formatCode="#,##0.00\ [$$-C0C];\(#,##0.00[$$-C0C]\)"/>
    <numFmt numFmtId="168" formatCode="_(&quot;$&quot;* #,##0.00_);_(&quot;$&quot;* \(#,##0.00\);_(&quot;$&quot;* &quot;-&quot;??_);_(@_)"/>
    <numFmt numFmtId="169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Gilroy ExtraBold"/>
      <family val="3"/>
    </font>
    <font>
      <b/>
      <sz val="13"/>
      <color theme="1"/>
      <name val="Gilroy ExtraBold"/>
      <family val="3"/>
    </font>
    <font>
      <b/>
      <sz val="13"/>
      <name val="Gilroy ExtraBold"/>
      <family val="3"/>
    </font>
    <font>
      <b/>
      <sz val="12"/>
      <color theme="1"/>
      <name val="Gilroy ExtraBold"/>
      <family val="3"/>
    </font>
    <font>
      <b/>
      <sz val="14"/>
      <color theme="1"/>
      <name val="Gilroy ExtraBold"/>
      <family val="3"/>
    </font>
    <font>
      <b/>
      <sz val="26"/>
      <color theme="0"/>
      <name val="Gilroy ExtraBold"/>
      <family val="3"/>
    </font>
    <font>
      <sz val="11"/>
      <color theme="1"/>
      <name val="Gilroy ExtraBold"/>
      <family val="3"/>
    </font>
    <font>
      <sz val="13"/>
      <color theme="1"/>
      <name val="Arial"/>
      <family val="2"/>
    </font>
    <font>
      <b/>
      <sz val="14"/>
      <name val="Gilroy ExtraBold"/>
      <family val="3"/>
    </font>
    <font>
      <b/>
      <sz val="16"/>
      <color theme="1"/>
      <name val="Gilroy ExtraBold"/>
      <family val="3"/>
    </font>
    <font>
      <b/>
      <sz val="18"/>
      <color theme="1"/>
      <name val="Gilroy ExtraBold"/>
      <family val="3"/>
    </font>
    <font>
      <b/>
      <sz val="13"/>
      <color theme="1"/>
      <name val="Century Gothic"/>
      <family val="2"/>
    </font>
    <font>
      <b/>
      <sz val="13"/>
      <name val="Century Gothic"/>
      <family val="2"/>
    </font>
    <font>
      <b/>
      <sz val="12"/>
      <color theme="1"/>
      <name val="Century Gothic"/>
      <family val="2"/>
    </font>
    <font>
      <sz val="13"/>
      <name val="Arial"/>
      <family val="2"/>
    </font>
    <font>
      <b/>
      <sz val="12"/>
      <color theme="1"/>
      <name val="Calibri"/>
      <family val="2"/>
      <scheme val="minor"/>
    </font>
    <font>
      <b/>
      <sz val="26"/>
      <color theme="0"/>
      <name val="Century Gothic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6" tint="-0.249977111117893"/>
      <name val="Tahoma"/>
      <family val="2"/>
    </font>
    <font>
      <b/>
      <sz val="10"/>
      <color theme="6" tint="-0.249977111117893"/>
      <name val="Tahoma"/>
      <family val="2"/>
    </font>
    <font>
      <sz val="24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12"/>
      <color theme="1"/>
      <name val="Gilroy Medium"/>
      <family val="3"/>
    </font>
    <font>
      <sz val="13"/>
      <color theme="1"/>
      <name val="Gilroy Medium"/>
      <family val="3"/>
    </font>
    <font>
      <sz val="8"/>
      <name val="Calibri"/>
      <family val="2"/>
      <scheme val="minor"/>
    </font>
    <font>
      <b/>
      <sz val="11"/>
      <name val="Tahoma"/>
      <family val="2"/>
    </font>
    <font>
      <sz val="18"/>
      <color theme="1"/>
      <name val="Gilroy ExtraBold"/>
      <family val="3"/>
    </font>
    <font>
      <sz val="16"/>
      <color theme="1"/>
      <name val="Gilroy ExtraBold"/>
      <family val="3"/>
    </font>
    <font>
      <sz val="11"/>
      <color theme="0"/>
      <name val="Calibri"/>
      <family val="2"/>
      <scheme val="minor"/>
    </font>
    <font>
      <sz val="36"/>
      <color theme="1"/>
      <name val="Gilroy"/>
      <family val="3"/>
    </font>
    <font>
      <sz val="7"/>
      <color theme="0"/>
      <name val="Times New Roman"/>
      <family val="1"/>
    </font>
    <font>
      <b/>
      <sz val="16"/>
      <color theme="1"/>
      <name val="Calibri"/>
      <family val="2"/>
      <scheme val="minor"/>
    </font>
    <font>
      <sz val="10"/>
      <name val="Tahoma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000000"/>
      <name val="Times New Roman"/>
      <family val="1"/>
    </font>
    <font>
      <sz val="11"/>
      <color rgb="FF686868"/>
      <name val="Segoe UI"/>
      <family val="2"/>
    </font>
    <font>
      <b/>
      <sz val="24"/>
      <color theme="0"/>
      <name val="Gilroy ExtraBold"/>
      <family val="3"/>
    </font>
    <font>
      <b/>
      <sz val="24"/>
      <color theme="1"/>
      <name val="Gilroy ExtraBold"/>
      <family val="3"/>
    </font>
    <font>
      <sz val="24"/>
      <color theme="1"/>
      <name val="Gilroy ExtraBold"/>
      <family val="3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theme="9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theme="9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theme="9"/>
      </left>
      <right/>
      <top/>
      <bottom style="thick">
        <color rgb="FF00B050"/>
      </bottom>
      <diagonal/>
    </border>
    <border>
      <left/>
      <right style="thick">
        <color theme="9"/>
      </right>
      <top/>
      <bottom style="thick">
        <color indexed="64"/>
      </bottom>
      <diagonal/>
    </border>
    <border>
      <left style="thick">
        <color theme="9"/>
      </left>
      <right style="thick">
        <color theme="9"/>
      </right>
      <top style="thick">
        <color theme="9"/>
      </top>
      <bottom style="thick">
        <color rgb="FF00B050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6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/>
  </cellStyleXfs>
  <cellXfs count="47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9" fillId="0" borderId="0" xfId="0" applyFont="1"/>
    <xf numFmtId="9" fontId="4" fillId="0" borderId="0" xfId="2" applyFont="1" applyFill="1" applyBorder="1" applyAlignment="1">
      <alignment horizontal="center"/>
    </xf>
    <xf numFmtId="0" fontId="4" fillId="0" borderId="0" xfId="0" applyFont="1"/>
    <xf numFmtId="0" fontId="10" fillId="0" borderId="5" xfId="0" applyFont="1" applyBorder="1" applyAlignment="1">
      <alignment horizontal="center"/>
    </xf>
    <xf numFmtId="9" fontId="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2" fontId="0" fillId="0" borderId="0" xfId="0" applyNumberFormat="1" applyAlignment="1">
      <alignment horizontal="center"/>
    </xf>
    <xf numFmtId="0" fontId="0" fillId="6" borderId="0" xfId="0" applyFill="1"/>
    <xf numFmtId="165" fontId="14" fillId="0" borderId="2" xfId="2" applyNumberFormat="1" applyFont="1" applyFill="1" applyBorder="1" applyAlignment="1">
      <alignment horizontal="center"/>
    </xf>
    <xf numFmtId="164" fontId="15" fillId="0" borderId="2" xfId="1" applyNumberFormat="1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4" fillId="0" borderId="28" xfId="0" applyFont="1" applyBorder="1" applyAlignment="1">
      <alignment horizontal="center"/>
    </xf>
    <xf numFmtId="0" fontId="14" fillId="0" borderId="3" xfId="0" applyFont="1" applyBorder="1"/>
    <xf numFmtId="165" fontId="14" fillId="2" borderId="1" xfId="2" applyNumberFormat="1" applyFont="1" applyFill="1" applyBorder="1" applyAlignment="1">
      <alignment horizontal="center"/>
    </xf>
    <xf numFmtId="165" fontId="14" fillId="0" borderId="5" xfId="2" applyNumberFormat="1" applyFont="1" applyFill="1" applyBorder="1" applyAlignment="1">
      <alignment horizontal="center"/>
    </xf>
    <xf numFmtId="164" fontId="15" fillId="0" borderId="5" xfId="1" applyNumberFormat="1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6" xfId="0" applyFont="1" applyBorder="1"/>
    <xf numFmtId="165" fontId="14" fillId="2" borderId="4" xfId="2" applyNumberFormat="1" applyFont="1" applyFill="1" applyBorder="1" applyAlignment="1">
      <alignment horizontal="center"/>
    </xf>
    <xf numFmtId="9" fontId="14" fillId="0" borderId="5" xfId="2" applyFont="1" applyFill="1" applyBorder="1" applyAlignment="1">
      <alignment horizontal="center"/>
    </xf>
    <xf numFmtId="9" fontId="14" fillId="2" borderId="4" xfId="2" applyFont="1" applyFill="1" applyBorder="1" applyAlignment="1">
      <alignment horizontal="center"/>
    </xf>
    <xf numFmtId="165" fontId="14" fillId="0" borderId="0" xfId="2" applyNumberFormat="1" applyFont="1" applyFill="1" applyBorder="1" applyAlignment="1">
      <alignment horizontal="center"/>
    </xf>
    <xf numFmtId="164" fontId="15" fillId="0" borderId="0" xfId="1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/>
    <xf numFmtId="165" fontId="14" fillId="2" borderId="17" xfId="2" applyNumberFormat="1" applyFont="1" applyFill="1" applyBorder="1" applyAlignment="1">
      <alignment horizontal="center"/>
    </xf>
    <xf numFmtId="165" fontId="14" fillId="0" borderId="16" xfId="2" applyNumberFormat="1" applyFont="1" applyFill="1" applyBorder="1" applyAlignment="1">
      <alignment horizontal="center"/>
    </xf>
    <xf numFmtId="164" fontId="15" fillId="0" borderId="16" xfId="1" applyNumberFormat="1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5" borderId="35" xfId="0" applyNumberFormat="1" applyFont="1" applyFill="1" applyBorder="1" applyAlignment="1">
      <alignment horizontal="center"/>
    </xf>
    <xf numFmtId="2" fontId="4" fillId="5" borderId="36" xfId="0" applyNumberFormat="1" applyFont="1" applyFill="1" applyBorder="1" applyAlignment="1">
      <alignment horizontal="center"/>
    </xf>
    <xf numFmtId="164" fontId="4" fillId="5" borderId="36" xfId="1" applyNumberFormat="1" applyFont="1" applyFill="1" applyBorder="1" applyAlignment="1">
      <alignment horizontal="center"/>
    </xf>
    <xf numFmtId="0" fontId="4" fillId="5" borderId="36" xfId="0" applyFont="1" applyFill="1" applyBorder="1" applyAlignment="1">
      <alignment horizontal="center"/>
    </xf>
    <xf numFmtId="0" fontId="4" fillId="5" borderId="36" xfId="0" applyFont="1" applyFill="1" applyBorder="1" applyAlignment="1">
      <alignment horizontal="center" vertical="center"/>
    </xf>
    <xf numFmtId="2" fontId="14" fillId="2" borderId="0" xfId="0" applyNumberFormat="1" applyFont="1" applyFill="1" applyAlignment="1">
      <alignment horizontal="center"/>
    </xf>
    <xf numFmtId="8" fontId="15" fillId="2" borderId="0" xfId="1" applyNumberFormat="1" applyFont="1" applyFill="1" applyBorder="1" applyAlignment="1"/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/>
    <xf numFmtId="165" fontId="14" fillId="0" borderId="4" xfId="2" applyNumberFormat="1" applyFont="1" applyFill="1" applyBorder="1" applyAlignment="1">
      <alignment horizontal="center"/>
    </xf>
    <xf numFmtId="44" fontId="15" fillId="0" borderId="5" xfId="1" applyFont="1" applyBorder="1" applyAlignment="1"/>
    <xf numFmtId="165" fontId="14" fillId="0" borderId="17" xfId="2" applyNumberFormat="1" applyFont="1" applyFill="1" applyBorder="1" applyAlignment="1">
      <alignment horizontal="center"/>
    </xf>
    <xf numFmtId="44" fontId="15" fillId="0" borderId="16" xfId="1" applyFont="1" applyBorder="1" applyAlignment="1"/>
    <xf numFmtId="2" fontId="4" fillId="5" borderId="10" xfId="0" applyNumberFormat="1" applyFont="1" applyFill="1" applyBorder="1" applyAlignment="1">
      <alignment horizontal="center"/>
    </xf>
    <xf numFmtId="2" fontId="4" fillId="5" borderId="11" xfId="0" applyNumberFormat="1" applyFont="1" applyFill="1" applyBorder="1" applyAlignment="1">
      <alignment horizontal="center"/>
    </xf>
    <xf numFmtId="44" fontId="4" fillId="5" borderId="11" xfId="1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4" fillId="0" borderId="0" xfId="2" applyNumberFormat="1" applyFont="1" applyFill="1" applyBorder="1" applyAlignment="1">
      <alignment horizontal="center"/>
    </xf>
    <xf numFmtId="2" fontId="14" fillId="2" borderId="0" xfId="2" applyNumberFormat="1" applyFont="1" applyFill="1" applyBorder="1" applyAlignment="1">
      <alignment horizontal="center"/>
    </xf>
    <xf numFmtId="165" fontId="14" fillId="2" borderId="0" xfId="2" applyNumberFormat="1" applyFont="1" applyFill="1" applyBorder="1" applyAlignment="1">
      <alignment horizontal="center"/>
    </xf>
    <xf numFmtId="165" fontId="14" fillId="2" borderId="26" xfId="2" applyNumberFormat="1" applyFont="1" applyFill="1" applyBorder="1" applyAlignment="1">
      <alignment horizontal="center"/>
    </xf>
    <xf numFmtId="44" fontId="14" fillId="2" borderId="26" xfId="1" applyFont="1" applyFill="1" applyBorder="1" applyAlignment="1" applyProtection="1">
      <alignment horizontal="center"/>
      <protection hidden="1"/>
    </xf>
    <xf numFmtId="0" fontId="14" fillId="2" borderId="26" xfId="0" applyFont="1" applyFill="1" applyBorder="1" applyAlignment="1">
      <alignment horizontal="center"/>
    </xf>
    <xf numFmtId="0" fontId="14" fillId="0" borderId="26" xfId="0" applyFont="1" applyBorder="1"/>
    <xf numFmtId="165" fontId="10" fillId="2" borderId="1" xfId="2" applyNumberFormat="1" applyFont="1" applyFill="1" applyBorder="1" applyAlignment="1">
      <alignment horizontal="center"/>
    </xf>
    <xf numFmtId="165" fontId="10" fillId="2" borderId="2" xfId="2" applyNumberFormat="1" applyFont="1" applyFill="1" applyBorder="1" applyAlignment="1">
      <alignment horizontal="center"/>
    </xf>
    <xf numFmtId="44" fontId="10" fillId="2" borderId="2" xfId="1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>
      <alignment horizontal="center"/>
    </xf>
    <xf numFmtId="165" fontId="10" fillId="2" borderId="4" xfId="2" applyNumberFormat="1" applyFont="1" applyFill="1" applyBorder="1" applyAlignment="1">
      <alignment horizontal="center"/>
    </xf>
    <xf numFmtId="165" fontId="10" fillId="2" borderId="5" xfId="2" applyNumberFormat="1" applyFont="1" applyFill="1" applyBorder="1" applyAlignment="1">
      <alignment horizontal="center"/>
    </xf>
    <xf numFmtId="44" fontId="10" fillId="2" borderId="5" xfId="1" applyFont="1" applyFill="1" applyBorder="1" applyAlignment="1" applyProtection="1">
      <alignment horizontal="center"/>
      <protection hidden="1"/>
    </xf>
    <xf numFmtId="0" fontId="10" fillId="2" borderId="5" xfId="0" applyFont="1" applyFill="1" applyBorder="1" applyAlignment="1">
      <alignment horizontal="center"/>
    </xf>
    <xf numFmtId="2" fontId="14" fillId="0" borderId="0" xfId="0" applyNumberFormat="1" applyFont="1" applyAlignment="1">
      <alignment horizontal="center"/>
    </xf>
    <xf numFmtId="2" fontId="10" fillId="0" borderId="4" xfId="0" applyNumberFormat="1" applyFont="1" applyBorder="1" applyAlignment="1">
      <alignment horizontal="center"/>
    </xf>
    <xf numFmtId="165" fontId="10" fillId="0" borderId="5" xfId="0" applyNumberFormat="1" applyFont="1" applyBorder="1" applyAlignment="1">
      <alignment horizontal="center"/>
    </xf>
    <xf numFmtId="165" fontId="15" fillId="0" borderId="0" xfId="2" applyNumberFormat="1" applyFont="1" applyFill="1" applyBorder="1" applyAlignment="1">
      <alignment horizontal="center"/>
    </xf>
    <xf numFmtId="165" fontId="17" fillId="0" borderId="4" xfId="2" applyNumberFormat="1" applyFont="1" applyBorder="1" applyAlignment="1">
      <alignment horizontal="center"/>
    </xf>
    <xf numFmtId="165" fontId="17" fillId="0" borderId="5" xfId="2" applyNumberFormat="1" applyFont="1" applyBorder="1" applyAlignment="1">
      <alignment horizontal="center"/>
    </xf>
    <xf numFmtId="44" fontId="17" fillId="0" borderId="5" xfId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10" fillId="0" borderId="5" xfId="2" applyNumberFormat="1" applyFont="1" applyBorder="1" applyAlignment="1">
      <alignment horizontal="center"/>
    </xf>
    <xf numFmtId="165" fontId="10" fillId="0" borderId="17" xfId="2" applyNumberFormat="1" applyFont="1" applyBorder="1" applyAlignment="1">
      <alignment horizontal="center"/>
    </xf>
    <xf numFmtId="165" fontId="10" fillId="0" borderId="16" xfId="2" applyNumberFormat="1" applyFont="1" applyBorder="1" applyAlignment="1">
      <alignment horizontal="center"/>
    </xf>
    <xf numFmtId="44" fontId="17" fillId="0" borderId="16" xfId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2" fontId="4" fillId="8" borderId="35" xfId="0" applyNumberFormat="1" applyFont="1" applyFill="1" applyBorder="1" applyAlignment="1">
      <alignment horizontal="center"/>
    </xf>
    <xf numFmtId="2" fontId="4" fillId="8" borderId="37" xfId="0" applyNumberFormat="1" applyFont="1" applyFill="1" applyBorder="1" applyAlignment="1">
      <alignment horizontal="center"/>
    </xf>
    <xf numFmtId="44" fontId="4" fillId="8" borderId="37" xfId="1" applyFont="1" applyFill="1" applyBorder="1" applyAlignment="1">
      <alignment horizontal="center"/>
    </xf>
    <xf numFmtId="0" fontId="4" fillId="8" borderId="37" xfId="0" applyFont="1" applyFill="1" applyBorder="1" applyAlignment="1">
      <alignment horizontal="center"/>
    </xf>
    <xf numFmtId="0" fontId="4" fillId="8" borderId="37" xfId="0" applyFont="1" applyFill="1" applyBorder="1" applyAlignment="1">
      <alignment horizontal="center" vertical="center"/>
    </xf>
    <xf numFmtId="0" fontId="4" fillId="8" borderId="38" xfId="0" applyFont="1" applyFill="1" applyBorder="1" applyAlignment="1">
      <alignment horizontal="left"/>
    </xf>
    <xf numFmtId="0" fontId="4" fillId="8" borderId="22" xfId="0" applyFont="1" applyFill="1" applyBorder="1" applyAlignment="1">
      <alignment horizontal="left"/>
    </xf>
    <xf numFmtId="2" fontId="4" fillId="5" borderId="37" xfId="0" applyNumberFormat="1" applyFont="1" applyFill="1" applyBorder="1" applyAlignment="1">
      <alignment horizontal="center"/>
    </xf>
    <xf numFmtId="44" fontId="4" fillId="5" borderId="37" xfId="1" applyFont="1" applyFill="1" applyBorder="1" applyAlignment="1">
      <alignment horizontal="center"/>
    </xf>
    <xf numFmtId="0" fontId="4" fillId="5" borderId="37" xfId="0" applyFont="1" applyFill="1" applyBorder="1" applyAlignment="1">
      <alignment horizontal="center"/>
    </xf>
    <xf numFmtId="0" fontId="4" fillId="5" borderId="37" xfId="0" applyFont="1" applyFill="1" applyBorder="1" applyAlignment="1">
      <alignment horizontal="center" vertical="center"/>
    </xf>
    <xf numFmtId="0" fontId="19" fillId="0" borderId="0" xfId="0" applyFont="1"/>
    <xf numFmtId="165" fontId="14" fillId="0" borderId="0" xfId="0" applyNumberFormat="1" applyFont="1" applyAlignment="1">
      <alignment horizontal="center"/>
    </xf>
    <xf numFmtId="165" fontId="10" fillId="2" borderId="1" xfId="0" applyNumberFormat="1" applyFont="1" applyFill="1" applyBorder="1" applyAlignment="1">
      <alignment horizontal="center"/>
    </xf>
    <xf numFmtId="165" fontId="10" fillId="2" borderId="2" xfId="0" applyNumberFormat="1" applyFont="1" applyFill="1" applyBorder="1" applyAlignment="1">
      <alignment horizontal="center"/>
    </xf>
    <xf numFmtId="44" fontId="10" fillId="2" borderId="2" xfId="1" applyFont="1" applyFill="1" applyBorder="1" applyAlignment="1">
      <alignment horizontal="center"/>
    </xf>
    <xf numFmtId="165" fontId="10" fillId="2" borderId="4" xfId="0" applyNumberFormat="1" applyFont="1" applyFill="1" applyBorder="1" applyAlignment="1">
      <alignment horizontal="center"/>
    </xf>
    <xf numFmtId="165" fontId="10" fillId="2" borderId="5" xfId="0" applyNumberFormat="1" applyFont="1" applyFill="1" applyBorder="1" applyAlignment="1">
      <alignment horizontal="center"/>
    </xf>
    <xf numFmtId="44" fontId="10" fillId="2" borderId="5" xfId="1" applyFont="1" applyFill="1" applyBorder="1" applyAlignment="1">
      <alignment horizontal="center"/>
    </xf>
    <xf numFmtId="165" fontId="10" fillId="2" borderId="7" xfId="2" applyNumberFormat="1" applyFont="1" applyFill="1" applyBorder="1" applyAlignment="1">
      <alignment horizontal="center"/>
    </xf>
    <xf numFmtId="165" fontId="10" fillId="2" borderId="8" xfId="2" applyNumberFormat="1" applyFont="1" applyFill="1" applyBorder="1" applyAlignment="1">
      <alignment horizontal="center"/>
    </xf>
    <xf numFmtId="44" fontId="10" fillId="2" borderId="8" xfId="1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2" fontId="5" fillId="0" borderId="0" xfId="0" applyNumberFormat="1" applyFont="1" applyAlignment="1">
      <alignment horizontal="center"/>
    </xf>
    <xf numFmtId="2" fontId="5" fillId="8" borderId="39" xfId="0" applyNumberFormat="1" applyFont="1" applyFill="1" applyBorder="1" applyAlignment="1">
      <alignment horizontal="center"/>
    </xf>
    <xf numFmtId="2" fontId="5" fillId="8" borderId="40" xfId="0" applyNumberFormat="1" applyFont="1" applyFill="1" applyBorder="1" applyAlignment="1">
      <alignment horizontal="center"/>
    </xf>
    <xf numFmtId="44" fontId="5" fillId="8" borderId="40" xfId="1" applyFont="1" applyFill="1" applyBorder="1" applyAlignment="1">
      <alignment horizontal="center"/>
    </xf>
    <xf numFmtId="0" fontId="5" fillId="8" borderId="40" xfId="0" applyFont="1" applyFill="1" applyBorder="1" applyAlignment="1">
      <alignment horizontal="center"/>
    </xf>
    <xf numFmtId="0" fontId="5" fillId="8" borderId="40" xfId="0" applyFont="1" applyFill="1" applyBorder="1" applyAlignment="1">
      <alignment horizontal="left"/>
    </xf>
    <xf numFmtId="0" fontId="5" fillId="8" borderId="41" xfId="0" applyFont="1" applyFill="1" applyBorder="1" applyAlignment="1">
      <alignment horizontal="left"/>
    </xf>
    <xf numFmtId="2" fontId="5" fillId="5" borderId="10" xfId="0" applyNumberFormat="1" applyFont="1" applyFill="1" applyBorder="1" applyAlignment="1">
      <alignment horizontal="center"/>
    </xf>
    <xf numFmtId="2" fontId="5" fillId="5" borderId="11" xfId="0" applyNumberFormat="1" applyFont="1" applyFill="1" applyBorder="1" applyAlignment="1">
      <alignment horizontal="center"/>
    </xf>
    <xf numFmtId="44" fontId="5" fillId="5" borderId="11" xfId="1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0" fillId="0" borderId="0" xfId="0" applyFont="1"/>
    <xf numFmtId="0" fontId="8" fillId="0" borderId="0" xfId="0" applyFont="1" applyAlignment="1">
      <alignment horizontal="center"/>
    </xf>
    <xf numFmtId="165" fontId="18" fillId="0" borderId="42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3" xfId="0" applyBorder="1" applyAlignment="1">
      <alignment vertical="center"/>
    </xf>
    <xf numFmtId="44" fontId="10" fillId="0" borderId="5" xfId="1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0" fillId="0" borderId="44" xfId="0" applyBorder="1" applyAlignment="1">
      <alignment vertical="center"/>
    </xf>
    <xf numFmtId="0" fontId="0" fillId="0" borderId="45" xfId="0" applyBorder="1" applyAlignment="1">
      <alignment vertical="center"/>
    </xf>
    <xf numFmtId="0" fontId="18" fillId="0" borderId="46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165" fontId="17" fillId="0" borderId="17" xfId="2" applyNumberFormat="1" applyFont="1" applyBorder="1" applyAlignment="1">
      <alignment horizontal="center"/>
    </xf>
    <xf numFmtId="165" fontId="17" fillId="0" borderId="16" xfId="2" applyNumberFormat="1" applyFont="1" applyBorder="1" applyAlignment="1">
      <alignment horizontal="center"/>
    </xf>
    <xf numFmtId="44" fontId="10" fillId="0" borderId="16" xfId="1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2" fontId="4" fillId="8" borderId="36" xfId="0" applyNumberFormat="1" applyFont="1" applyFill="1" applyBorder="1" applyAlignment="1">
      <alignment horizontal="center"/>
    </xf>
    <xf numFmtId="44" fontId="4" fillId="8" borderId="36" xfId="1" applyFont="1" applyFill="1" applyBorder="1" applyAlignment="1">
      <alignment horizontal="center"/>
    </xf>
    <xf numFmtId="0" fontId="4" fillId="8" borderId="36" xfId="0" applyFont="1" applyFill="1" applyBorder="1" applyAlignment="1">
      <alignment horizontal="center"/>
    </xf>
    <xf numFmtId="0" fontId="4" fillId="8" borderId="36" xfId="0" applyFont="1" applyFill="1" applyBorder="1" applyAlignment="1">
      <alignment horizontal="center" vertical="center"/>
    </xf>
    <xf numFmtId="0" fontId="18" fillId="0" borderId="48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44" fontId="4" fillId="5" borderId="36" xfId="1" applyFont="1" applyFill="1" applyBorder="1" applyAlignment="1">
      <alignment horizontal="center"/>
    </xf>
    <xf numFmtId="0" fontId="19" fillId="0" borderId="0" xfId="0" applyFont="1" applyAlignment="1">
      <alignment vertical="center"/>
    </xf>
    <xf numFmtId="166" fontId="22" fillId="0" borderId="0" xfId="0" applyNumberFormat="1" applyFont="1"/>
    <xf numFmtId="0" fontId="22" fillId="0" borderId="0" xfId="0" applyFont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166" fontId="22" fillId="9" borderId="0" xfId="0" applyNumberFormat="1" applyFont="1" applyFill="1"/>
    <xf numFmtId="0" fontId="22" fillId="9" borderId="0" xfId="0" applyFont="1" applyFill="1"/>
    <xf numFmtId="0" fontId="22" fillId="9" borderId="0" xfId="0" applyFont="1" applyFill="1" applyAlignment="1">
      <alignment horizontal="center"/>
    </xf>
    <xf numFmtId="0" fontId="22" fillId="9" borderId="0" xfId="0" applyFont="1" applyFill="1" applyAlignment="1">
      <alignment horizontal="center" vertical="center"/>
    </xf>
    <xf numFmtId="0" fontId="23" fillId="0" borderId="50" xfId="0" applyFont="1" applyBorder="1"/>
    <xf numFmtId="0" fontId="23" fillId="0" borderId="50" xfId="0" applyFont="1" applyBorder="1" applyAlignment="1">
      <alignment horizontal="center"/>
    </xf>
    <xf numFmtId="0" fontId="23" fillId="0" borderId="50" xfId="0" applyFont="1" applyBorder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1" fontId="22" fillId="9" borderId="0" xfId="0" applyNumberFormat="1" applyFont="1" applyFill="1" applyAlignment="1">
      <alignment horizontal="center" vertical="center"/>
    </xf>
    <xf numFmtId="2" fontId="22" fillId="9" borderId="0" xfId="0" applyNumberFormat="1" applyFont="1" applyFill="1" applyAlignment="1">
      <alignment horizontal="center" vertical="center"/>
    </xf>
    <xf numFmtId="2" fontId="22" fillId="0" borderId="0" xfId="0" applyNumberFormat="1" applyFont="1" applyAlignment="1">
      <alignment horizontal="center" vertical="center"/>
    </xf>
    <xf numFmtId="0" fontId="25" fillId="0" borderId="0" xfId="3"/>
    <xf numFmtId="167" fontId="25" fillId="0" borderId="0" xfId="3" applyNumberFormat="1"/>
    <xf numFmtId="0" fontId="26" fillId="0" borderId="0" xfId="3" applyFont="1" applyAlignment="1">
      <alignment horizontal="center"/>
    </xf>
    <xf numFmtId="44" fontId="3" fillId="0" borderId="0" xfId="0" applyNumberFormat="1" applyFont="1" applyAlignment="1">
      <alignment horizontal="center" vertical="center"/>
    </xf>
    <xf numFmtId="44" fontId="3" fillId="0" borderId="0" xfId="0" applyNumberFormat="1" applyFont="1"/>
    <xf numFmtId="44" fontId="2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44" fontId="27" fillId="0" borderId="0" xfId="0" applyNumberFormat="1" applyFont="1" applyAlignment="1">
      <alignment horizontal="center"/>
    </xf>
    <xf numFmtId="9" fontId="28" fillId="0" borderId="0" xfId="2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4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44" fontId="7" fillId="0" borderId="0" xfId="0" applyNumberFormat="1" applyFont="1" applyAlignment="1">
      <alignment horizontal="center" vertical="center"/>
    </xf>
    <xf numFmtId="9" fontId="27" fillId="0" borderId="0" xfId="2" applyFont="1" applyFill="1" applyBorder="1" applyAlignment="1">
      <alignment horizontal="center"/>
    </xf>
    <xf numFmtId="44" fontId="28" fillId="0" borderId="0" xfId="0" applyNumberFormat="1" applyFont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9" fontId="5" fillId="0" borderId="0" xfId="1" applyNumberFormat="1" applyFont="1" applyFill="1" applyBorder="1" applyAlignment="1">
      <alignment horizontal="center"/>
    </xf>
    <xf numFmtId="9" fontId="3" fillId="0" borderId="0" xfId="0" applyNumberFormat="1" applyFont="1" applyAlignment="1">
      <alignment horizontal="center"/>
    </xf>
    <xf numFmtId="9" fontId="27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9" fontId="12" fillId="3" borderId="15" xfId="0" applyNumberFormat="1" applyFont="1" applyFill="1" applyBorder="1" applyAlignment="1">
      <alignment horizontal="center" vertical="center"/>
    </xf>
    <xf numFmtId="0" fontId="13" fillId="3" borderId="24" xfId="0" applyFont="1" applyFill="1" applyBorder="1" applyAlignment="1">
      <alignment vertical="center"/>
    </xf>
    <xf numFmtId="44" fontId="13" fillId="3" borderId="24" xfId="0" applyNumberFormat="1" applyFont="1" applyFill="1" applyBorder="1" applyAlignment="1">
      <alignment horizontal="center" vertical="center"/>
    </xf>
    <xf numFmtId="9" fontId="13" fillId="3" borderId="20" xfId="0" applyNumberFormat="1" applyFont="1" applyFill="1" applyBorder="1" applyAlignment="1">
      <alignment horizontal="center" vertical="center"/>
    </xf>
    <xf numFmtId="1" fontId="13" fillId="3" borderId="10" xfId="0" applyNumberFormat="1" applyFont="1" applyFill="1" applyBorder="1" applyAlignment="1">
      <alignment horizontal="center" vertical="center"/>
    </xf>
    <xf numFmtId="1" fontId="25" fillId="0" borderId="0" xfId="3" applyNumberFormat="1"/>
    <xf numFmtId="166" fontId="25" fillId="0" borderId="0" xfId="3" applyNumberFormat="1"/>
    <xf numFmtId="9" fontId="13" fillId="3" borderId="23" xfId="0" applyNumberFormat="1" applyFont="1" applyFill="1" applyBorder="1" applyAlignment="1">
      <alignment horizontal="center" vertical="center"/>
    </xf>
    <xf numFmtId="9" fontId="12" fillId="3" borderId="62" xfId="0" applyNumberFormat="1" applyFont="1" applyFill="1" applyBorder="1" applyAlignment="1">
      <alignment horizontal="center" vertical="center"/>
    </xf>
    <xf numFmtId="9" fontId="3" fillId="0" borderId="0" xfId="0" applyNumberFormat="1" applyFont="1"/>
    <xf numFmtId="0" fontId="0" fillId="13" borderId="0" xfId="0" applyFill="1"/>
    <xf numFmtId="0" fontId="33" fillId="13" borderId="0" xfId="0" applyFont="1" applyFill="1" applyAlignment="1">
      <alignment vertical="center"/>
    </xf>
    <xf numFmtId="0" fontId="33" fillId="13" borderId="0" xfId="0" applyFont="1" applyFill="1"/>
    <xf numFmtId="0" fontId="33" fillId="13" borderId="0" xfId="0" applyFont="1" applyFill="1" applyAlignment="1">
      <alignment horizontal="left" vertical="center" indent="5"/>
    </xf>
    <xf numFmtId="0" fontId="33" fillId="13" borderId="0" xfId="0" quotePrefix="1" applyFont="1" applyFill="1" applyAlignment="1">
      <alignment horizontal="left" vertical="center" indent="5"/>
    </xf>
    <xf numFmtId="0" fontId="36" fillId="0" borderId="0" xfId="0" applyFont="1" applyAlignment="1">
      <alignment vertical="center"/>
    </xf>
    <xf numFmtId="44" fontId="31" fillId="0" borderId="0" xfId="1" applyFont="1" applyBorder="1" applyAlignment="1">
      <alignment horizontal="center" vertical="center"/>
    </xf>
    <xf numFmtId="9" fontId="31" fillId="0" borderId="0" xfId="2" applyFont="1" applyFill="1" applyBorder="1" applyAlignment="1">
      <alignment horizontal="center" vertical="center"/>
    </xf>
    <xf numFmtId="1" fontId="37" fillId="0" borderId="0" xfId="3" applyNumberFormat="1" applyFont="1" applyAlignment="1">
      <alignment horizontal="left"/>
    </xf>
    <xf numFmtId="0" fontId="37" fillId="0" borderId="0" xfId="3" applyFont="1" applyAlignment="1">
      <alignment horizontal="left"/>
    </xf>
    <xf numFmtId="166" fontId="37" fillId="0" borderId="0" xfId="3" applyNumberFormat="1" applyFont="1" applyAlignment="1">
      <alignment horizontal="left"/>
    </xf>
    <xf numFmtId="9" fontId="31" fillId="0" borderId="55" xfId="0" applyNumberFormat="1" applyFont="1" applyBorder="1" applyAlignment="1">
      <alignment horizontal="center" vertical="center"/>
    </xf>
    <xf numFmtId="9" fontId="31" fillId="0" borderId="56" xfId="0" applyNumberFormat="1" applyFont="1" applyBorder="1" applyAlignment="1">
      <alignment horizontal="center" vertical="center"/>
    </xf>
    <xf numFmtId="167" fontId="37" fillId="0" borderId="0" xfId="3" applyNumberFormat="1" applyFont="1" applyAlignment="1">
      <alignment horizontal="left"/>
    </xf>
    <xf numFmtId="0" fontId="7" fillId="2" borderId="0" xfId="0" applyFont="1" applyFill="1" applyAlignment="1">
      <alignment vertical="center"/>
    </xf>
    <xf numFmtId="1" fontId="7" fillId="2" borderId="0" xfId="0" applyNumberFormat="1" applyFont="1" applyFill="1" applyAlignment="1">
      <alignment horizontal="center" vertical="center"/>
    </xf>
    <xf numFmtId="44" fontId="7" fillId="0" borderId="0" xfId="1" applyFont="1" applyBorder="1" applyAlignment="1">
      <alignment horizontal="center" vertical="center"/>
    </xf>
    <xf numFmtId="9" fontId="11" fillId="0" borderId="0" xfId="1" applyNumberFormat="1" applyFont="1" applyBorder="1" applyAlignment="1">
      <alignment horizontal="center" vertical="center"/>
    </xf>
    <xf numFmtId="0" fontId="31" fillId="0" borderId="58" xfId="0" applyFont="1" applyBorder="1" applyAlignment="1">
      <alignment vertical="center"/>
    </xf>
    <xf numFmtId="44" fontId="31" fillId="0" borderId="54" xfId="1" applyFont="1" applyFill="1" applyBorder="1" applyAlignment="1">
      <alignment horizontal="center" vertical="center"/>
    </xf>
    <xf numFmtId="9" fontId="31" fillId="0" borderId="54" xfId="1" applyNumberFormat="1" applyFont="1" applyFill="1" applyBorder="1" applyAlignment="1">
      <alignment horizontal="center" vertical="center"/>
    </xf>
    <xf numFmtId="9" fontId="31" fillId="0" borderId="33" xfId="1" applyNumberFormat="1" applyFont="1" applyFill="1" applyBorder="1" applyAlignment="1">
      <alignment horizontal="center" vertical="center"/>
    </xf>
    <xf numFmtId="44" fontId="31" fillId="0" borderId="33" xfId="1" applyFont="1" applyFill="1" applyBorder="1" applyAlignment="1">
      <alignment horizontal="center" vertical="center"/>
    </xf>
    <xf numFmtId="9" fontId="31" fillId="0" borderId="54" xfId="0" applyNumberFormat="1" applyFont="1" applyBorder="1" applyAlignment="1">
      <alignment horizontal="center" vertical="center"/>
    </xf>
    <xf numFmtId="0" fontId="31" fillId="0" borderId="56" xfId="0" applyFont="1" applyBorder="1" applyAlignment="1">
      <alignment vertical="center"/>
    </xf>
    <xf numFmtId="0" fontId="31" fillId="0" borderId="54" xfId="0" applyFont="1" applyBorder="1" applyAlignment="1">
      <alignment horizontal="center" vertical="center"/>
    </xf>
    <xf numFmtId="44" fontId="31" fillId="0" borderId="56" xfId="0" applyNumberFormat="1" applyFont="1" applyBorder="1" applyAlignment="1">
      <alignment horizontal="center" vertical="center"/>
    </xf>
    <xf numFmtId="9" fontId="13" fillId="3" borderId="25" xfId="0" applyNumberFormat="1" applyFont="1" applyFill="1" applyBorder="1" applyAlignment="1">
      <alignment horizontal="center" vertical="center"/>
    </xf>
    <xf numFmtId="1" fontId="13" fillId="3" borderId="20" xfId="0" applyNumberFormat="1" applyFont="1" applyFill="1" applyBorder="1" applyAlignment="1">
      <alignment horizontal="center" vertical="center"/>
    </xf>
    <xf numFmtId="9" fontId="31" fillId="0" borderId="33" xfId="0" applyNumberFormat="1" applyFont="1" applyBorder="1" applyAlignment="1">
      <alignment horizontal="center" vertical="center"/>
    </xf>
    <xf numFmtId="9" fontId="13" fillId="0" borderId="56" xfId="0" applyNumberFormat="1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9" fontId="31" fillId="0" borderId="65" xfId="0" applyNumberFormat="1" applyFont="1" applyBorder="1" applyAlignment="1">
      <alignment horizontal="center" vertical="center"/>
    </xf>
    <xf numFmtId="44" fontId="31" fillId="0" borderId="65" xfId="1" applyFont="1" applyFill="1" applyBorder="1" applyAlignment="1">
      <alignment horizontal="center" vertical="center"/>
    </xf>
    <xf numFmtId="0" fontId="32" fillId="0" borderId="66" xfId="0" applyFont="1" applyBorder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44" fontId="32" fillId="0" borderId="0" xfId="0" applyNumberFormat="1" applyFont="1" applyAlignment="1">
      <alignment horizontal="center" vertical="center"/>
    </xf>
    <xf numFmtId="9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12" fillId="3" borderId="0" xfId="0" applyFont="1" applyFill="1" applyAlignment="1">
      <alignment vertical="center"/>
    </xf>
    <xf numFmtId="44" fontId="12" fillId="3" borderId="0" xfId="0" applyNumberFormat="1" applyFont="1" applyFill="1" applyAlignment="1">
      <alignment horizontal="center" vertical="center"/>
    </xf>
    <xf numFmtId="9" fontId="13" fillId="3" borderId="0" xfId="0" applyNumberFormat="1" applyFont="1" applyFill="1" applyAlignment="1">
      <alignment horizontal="center" vertical="center"/>
    </xf>
    <xf numFmtId="1" fontId="12" fillId="3" borderId="39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9" fontId="31" fillId="0" borderId="0" xfId="0" applyNumberFormat="1" applyFont="1" applyAlignment="1">
      <alignment horizontal="center" vertical="center"/>
    </xf>
    <xf numFmtId="0" fontId="7" fillId="0" borderId="22" xfId="0" applyFont="1" applyBorder="1" applyAlignment="1">
      <alignment vertical="center" textRotation="90"/>
    </xf>
    <xf numFmtId="0" fontId="13" fillId="0" borderId="66" xfId="0" applyFont="1" applyBorder="1" applyAlignment="1">
      <alignment horizontal="center" vertical="center"/>
    </xf>
    <xf numFmtId="0" fontId="31" fillId="0" borderId="67" xfId="0" applyFont="1" applyBorder="1" applyAlignment="1">
      <alignment vertical="center"/>
    </xf>
    <xf numFmtId="9" fontId="31" fillId="0" borderId="67" xfId="2" applyFont="1" applyFill="1" applyBorder="1" applyAlignment="1">
      <alignment horizontal="center" vertical="center"/>
    </xf>
    <xf numFmtId="9" fontId="31" fillId="0" borderId="67" xfId="0" applyNumberFormat="1" applyFont="1" applyBorder="1" applyAlignment="1">
      <alignment horizontal="center" vertical="center"/>
    </xf>
    <xf numFmtId="44" fontId="31" fillId="0" borderId="14" xfId="1" applyFont="1" applyFill="1" applyBorder="1" applyAlignment="1">
      <alignment horizontal="center" vertical="center"/>
    </xf>
    <xf numFmtId="9" fontId="31" fillId="0" borderId="14" xfId="0" applyNumberFormat="1" applyFont="1" applyBorder="1" applyAlignment="1">
      <alignment horizontal="center" vertical="center"/>
    </xf>
    <xf numFmtId="0" fontId="31" fillId="0" borderId="65" xfId="0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9" fontId="31" fillId="0" borderId="65" xfId="2" applyFont="1" applyFill="1" applyBorder="1" applyAlignment="1">
      <alignment horizontal="center" vertical="center"/>
    </xf>
    <xf numFmtId="9" fontId="31" fillId="0" borderId="54" xfId="2" applyFont="1" applyFill="1" applyBorder="1" applyAlignment="1">
      <alignment horizontal="center" vertical="center"/>
    </xf>
    <xf numFmtId="0" fontId="31" fillId="0" borderId="68" xfId="0" applyFont="1" applyBorder="1" applyAlignment="1">
      <alignment vertical="center"/>
    </xf>
    <xf numFmtId="44" fontId="31" fillId="0" borderId="31" xfId="1" applyFont="1" applyFill="1" applyBorder="1" applyAlignment="1">
      <alignment horizontal="center" vertical="center"/>
    </xf>
    <xf numFmtId="44" fontId="31" fillId="0" borderId="67" xfId="1" applyFont="1" applyFill="1" applyBorder="1" applyAlignment="1">
      <alignment horizontal="center" vertical="center"/>
    </xf>
    <xf numFmtId="9" fontId="31" fillId="0" borderId="67" xfId="1" applyNumberFormat="1" applyFont="1" applyFill="1" applyBorder="1" applyAlignment="1">
      <alignment horizontal="center" vertical="center"/>
    </xf>
    <xf numFmtId="9" fontId="31" fillId="0" borderId="31" xfId="1" applyNumberFormat="1" applyFont="1" applyFill="1" applyBorder="1" applyAlignment="1">
      <alignment horizontal="center" vertical="center"/>
    </xf>
    <xf numFmtId="9" fontId="31" fillId="0" borderId="69" xfId="0" applyNumberFormat="1" applyFont="1" applyBorder="1" applyAlignment="1">
      <alignment horizontal="center" vertical="center"/>
    </xf>
    <xf numFmtId="44" fontId="31" fillId="0" borderId="69" xfId="1" applyFont="1" applyFill="1" applyBorder="1" applyAlignment="1">
      <alignment horizontal="center" vertical="center"/>
    </xf>
    <xf numFmtId="0" fontId="13" fillId="3" borderId="0" xfId="0" applyFont="1" applyFill="1" applyAlignment="1">
      <alignment vertical="center"/>
    </xf>
    <xf numFmtId="0" fontId="13" fillId="3" borderId="15" xfId="0" applyFont="1" applyFill="1" applyBorder="1" applyAlignment="1">
      <alignment horizontal="center" vertical="center"/>
    </xf>
    <xf numFmtId="44" fontId="13" fillId="3" borderId="0" xfId="0" applyNumberFormat="1" applyFont="1" applyFill="1" applyAlignment="1">
      <alignment horizontal="center" vertical="center"/>
    </xf>
    <xf numFmtId="9" fontId="13" fillId="3" borderId="15" xfId="0" applyNumberFormat="1" applyFont="1" applyFill="1" applyBorder="1" applyAlignment="1">
      <alignment horizontal="center" vertical="center"/>
    </xf>
    <xf numFmtId="9" fontId="13" fillId="3" borderId="62" xfId="0" applyNumberFormat="1" applyFont="1" applyFill="1" applyBorder="1" applyAlignment="1">
      <alignment horizontal="center" vertical="center"/>
    </xf>
    <xf numFmtId="1" fontId="13" fillId="3" borderId="39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horizontal="left" vertical="center" indent="5"/>
    </xf>
    <xf numFmtId="0" fontId="39" fillId="0" borderId="0" xfId="0" applyFont="1" applyAlignment="1">
      <alignment vertical="center"/>
    </xf>
    <xf numFmtId="44" fontId="31" fillId="0" borderId="66" xfId="1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7" fillId="0" borderId="0" xfId="0" applyFont="1" applyAlignment="1">
      <alignment vertical="center" textRotation="90"/>
    </xf>
    <xf numFmtId="0" fontId="31" fillId="0" borderId="65" xfId="0" applyFont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44" fontId="31" fillId="0" borderId="19" xfId="1" applyFont="1" applyFill="1" applyBorder="1" applyAlignment="1">
      <alignment horizontal="center" vertical="center"/>
    </xf>
    <xf numFmtId="168" fontId="31" fillId="0" borderId="54" xfId="1" applyNumberFormat="1" applyFont="1" applyFill="1" applyBorder="1" applyAlignment="1">
      <alignment horizontal="center" vertical="center"/>
    </xf>
    <xf numFmtId="44" fontId="31" fillId="0" borderId="54" xfId="1" applyFont="1" applyBorder="1" applyAlignment="1">
      <alignment horizontal="center" vertical="center"/>
    </xf>
    <xf numFmtId="167" fontId="0" fillId="0" borderId="0" xfId="0" applyNumberFormat="1"/>
    <xf numFmtId="44" fontId="31" fillId="0" borderId="5" xfId="1" applyFont="1" applyFill="1" applyBorder="1" applyAlignment="1">
      <alignment horizontal="center" vertical="center"/>
    </xf>
    <xf numFmtId="9" fontId="31" fillId="0" borderId="5" xfId="2" applyFont="1" applyFill="1" applyBorder="1" applyAlignment="1">
      <alignment horizontal="center" vertical="center"/>
    </xf>
    <xf numFmtId="9" fontId="31" fillId="0" borderId="5" xfId="0" applyNumberFormat="1" applyFont="1" applyBorder="1" applyAlignment="1">
      <alignment horizontal="center" vertical="center"/>
    </xf>
    <xf numFmtId="0" fontId="31" fillId="0" borderId="18" xfId="0" applyFont="1" applyBorder="1" applyAlignment="1">
      <alignment vertical="center"/>
    </xf>
    <xf numFmtId="44" fontId="31" fillId="0" borderId="16" xfId="1" applyFont="1" applyFill="1" applyBorder="1" applyAlignment="1">
      <alignment horizontal="center" vertical="center"/>
    </xf>
    <xf numFmtId="9" fontId="31" fillId="0" borderId="16" xfId="2" applyFont="1" applyFill="1" applyBorder="1" applyAlignment="1">
      <alignment horizontal="center" vertical="center"/>
    </xf>
    <xf numFmtId="9" fontId="31" fillId="0" borderId="16" xfId="0" applyNumberFormat="1" applyFont="1" applyBorder="1" applyAlignment="1">
      <alignment horizontal="center" vertical="center"/>
    </xf>
    <xf numFmtId="44" fontId="31" fillId="0" borderId="17" xfId="1" applyFont="1" applyFill="1" applyBorder="1" applyAlignment="1">
      <alignment horizontal="center" vertical="center"/>
    </xf>
    <xf numFmtId="44" fontId="31" fillId="0" borderId="4" xfId="1" applyFont="1" applyFill="1" applyBorder="1" applyAlignment="1">
      <alignment horizontal="center" vertical="center"/>
    </xf>
    <xf numFmtId="0" fontId="31" fillId="0" borderId="3" xfId="0" applyFont="1" applyBorder="1" applyAlignment="1">
      <alignment vertical="center"/>
    </xf>
    <xf numFmtId="44" fontId="31" fillId="0" borderId="2" xfId="1" applyFont="1" applyFill="1" applyBorder="1" applyAlignment="1">
      <alignment horizontal="center" vertical="center"/>
    </xf>
    <xf numFmtId="9" fontId="31" fillId="0" borderId="2" xfId="2" applyFont="1" applyFill="1" applyBorder="1" applyAlignment="1">
      <alignment horizontal="center" vertical="center"/>
    </xf>
    <xf numFmtId="9" fontId="31" fillId="0" borderId="2" xfId="0" applyNumberFormat="1" applyFont="1" applyBorder="1" applyAlignment="1">
      <alignment horizontal="center" vertical="center"/>
    </xf>
    <xf numFmtId="44" fontId="31" fillId="0" borderId="1" xfId="1" applyFont="1" applyFill="1" applyBorder="1" applyAlignment="1">
      <alignment horizontal="center" vertical="center"/>
    </xf>
    <xf numFmtId="0" fontId="13" fillId="3" borderId="24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44" fontId="31" fillId="0" borderId="15" xfId="1" applyFont="1" applyFill="1" applyBorder="1" applyAlignment="1">
      <alignment horizontal="center" vertical="center"/>
    </xf>
    <xf numFmtId="0" fontId="31" fillId="0" borderId="13" xfId="0" applyFont="1" applyBorder="1" applyAlignment="1">
      <alignment vertical="center"/>
    </xf>
    <xf numFmtId="9" fontId="31" fillId="0" borderId="70" xfId="2" applyFont="1" applyFill="1" applyBorder="1" applyAlignment="1">
      <alignment horizontal="center" vertical="center"/>
    </xf>
    <xf numFmtId="44" fontId="31" fillId="0" borderId="6" xfId="1" applyFont="1" applyFill="1" applyBorder="1" applyAlignment="1">
      <alignment horizontal="center" vertical="center"/>
    </xf>
    <xf numFmtId="9" fontId="31" fillId="0" borderId="19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vertical="center" textRotation="90"/>
    </xf>
    <xf numFmtId="0" fontId="7" fillId="2" borderId="53" xfId="0" applyFont="1" applyFill="1" applyBorder="1" applyAlignment="1">
      <alignment vertical="center" textRotation="90"/>
    </xf>
    <xf numFmtId="0" fontId="2" fillId="0" borderId="57" xfId="0" applyFont="1" applyBorder="1"/>
    <xf numFmtId="44" fontId="31" fillId="0" borderId="71" xfId="1" applyFont="1" applyFill="1" applyBorder="1" applyAlignment="1">
      <alignment horizontal="center" vertical="center"/>
    </xf>
    <xf numFmtId="169" fontId="31" fillId="0" borderId="54" xfId="1" applyNumberFormat="1" applyFont="1" applyFill="1" applyBorder="1" applyAlignment="1">
      <alignment horizontal="center" vertical="center"/>
    </xf>
    <xf numFmtId="169" fontId="31" fillId="0" borderId="67" xfId="1" applyNumberFormat="1" applyFont="1" applyFill="1" applyBorder="1" applyAlignment="1">
      <alignment horizontal="center" vertical="center"/>
    </xf>
    <xf numFmtId="0" fontId="31" fillId="2" borderId="56" xfId="0" applyFont="1" applyFill="1" applyBorder="1" applyAlignment="1">
      <alignment vertical="center"/>
    </xf>
    <xf numFmtId="44" fontId="31" fillId="2" borderId="56" xfId="0" applyNumberFormat="1" applyFont="1" applyFill="1" applyBorder="1" applyAlignment="1">
      <alignment horizontal="center" vertical="center"/>
    </xf>
    <xf numFmtId="0" fontId="31" fillId="2" borderId="54" xfId="0" applyFont="1" applyFill="1" applyBorder="1" applyAlignment="1">
      <alignment horizontal="center" vertical="center"/>
    </xf>
    <xf numFmtId="9" fontId="31" fillId="2" borderId="54" xfId="0" applyNumberFormat="1" applyFont="1" applyFill="1" applyBorder="1" applyAlignment="1">
      <alignment horizontal="center" vertical="center"/>
    </xf>
    <xf numFmtId="9" fontId="31" fillId="2" borderId="55" xfId="0" applyNumberFormat="1" applyFont="1" applyFill="1" applyBorder="1" applyAlignment="1">
      <alignment horizontal="center" vertical="center"/>
    </xf>
    <xf numFmtId="9" fontId="13" fillId="2" borderId="56" xfId="0" applyNumberFormat="1" applyFont="1" applyFill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8" fillId="4" borderId="53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vertical="center"/>
    </xf>
    <xf numFmtId="0" fontId="13" fillId="3" borderId="5" xfId="0" applyFont="1" applyFill="1" applyBorder="1" applyAlignment="1">
      <alignment horizontal="center" vertical="center"/>
    </xf>
    <xf numFmtId="44" fontId="13" fillId="3" borderId="5" xfId="0" applyNumberFormat="1" applyFont="1" applyFill="1" applyBorder="1" applyAlignment="1">
      <alignment horizontal="center" vertical="center"/>
    </xf>
    <xf numFmtId="9" fontId="13" fillId="3" borderId="5" xfId="0" applyNumberFormat="1" applyFont="1" applyFill="1" applyBorder="1" applyAlignment="1">
      <alignment horizontal="center" vertical="center"/>
    </xf>
    <xf numFmtId="1" fontId="13" fillId="3" borderId="5" xfId="0" applyNumberFormat="1" applyFont="1" applyFill="1" applyBorder="1" applyAlignment="1">
      <alignment horizontal="center" vertical="center"/>
    </xf>
    <xf numFmtId="0" fontId="31" fillId="0" borderId="5" xfId="0" applyFont="1" applyBorder="1" applyAlignment="1">
      <alignment vertical="center"/>
    </xf>
    <xf numFmtId="9" fontId="31" fillId="0" borderId="5" xfId="1" applyNumberFormat="1" applyFont="1" applyFill="1" applyBorder="1" applyAlignment="1">
      <alignment horizontal="center" vertical="center"/>
    </xf>
    <xf numFmtId="0" fontId="7" fillId="0" borderId="72" xfId="0" applyFont="1" applyBorder="1" applyAlignment="1">
      <alignment horizontal="center" vertical="center" textRotation="90"/>
    </xf>
    <xf numFmtId="0" fontId="31" fillId="0" borderId="73" xfId="0" applyFont="1" applyBorder="1" applyAlignment="1">
      <alignment vertical="center"/>
    </xf>
    <xf numFmtId="0" fontId="31" fillId="0" borderId="73" xfId="0" applyFont="1" applyBorder="1" applyAlignment="1">
      <alignment horizontal="center" vertical="center"/>
    </xf>
    <xf numFmtId="44" fontId="31" fillId="0" borderId="73" xfId="0" applyNumberFormat="1" applyFont="1" applyBorder="1" applyAlignment="1">
      <alignment horizontal="center" vertical="center"/>
    </xf>
    <xf numFmtId="9" fontId="31" fillId="0" borderId="73" xfId="0" applyNumberFormat="1" applyFont="1" applyBorder="1" applyAlignment="1">
      <alignment horizontal="center" vertical="center"/>
    </xf>
    <xf numFmtId="9" fontId="13" fillId="0" borderId="73" xfId="0" applyNumberFormat="1" applyFont="1" applyBorder="1" applyAlignment="1">
      <alignment horizontal="center" vertical="center"/>
    </xf>
    <xf numFmtId="0" fontId="12" fillId="3" borderId="8" xfId="0" applyFont="1" applyFill="1" applyBorder="1" applyAlignment="1">
      <alignment vertical="center"/>
    </xf>
    <xf numFmtId="0" fontId="12" fillId="3" borderId="8" xfId="0" applyFont="1" applyFill="1" applyBorder="1" applyAlignment="1">
      <alignment horizontal="center" vertical="center"/>
    </xf>
    <xf numFmtId="44" fontId="12" fillId="3" borderId="8" xfId="0" applyNumberFormat="1" applyFont="1" applyFill="1" applyBorder="1" applyAlignment="1">
      <alignment horizontal="center" vertical="center"/>
    </xf>
    <xf numFmtId="9" fontId="12" fillId="3" borderId="8" xfId="0" applyNumberFormat="1" applyFont="1" applyFill="1" applyBorder="1" applyAlignment="1">
      <alignment horizontal="center" vertical="center"/>
    </xf>
    <xf numFmtId="9" fontId="13" fillId="3" borderId="8" xfId="0" applyNumberFormat="1" applyFont="1" applyFill="1" applyBorder="1" applyAlignment="1">
      <alignment horizontal="center" vertical="center"/>
    </xf>
    <xf numFmtId="1" fontId="12" fillId="3" borderId="8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44" fontId="31" fillId="0" borderId="0" xfId="0" applyNumberFormat="1" applyFont="1" applyAlignment="1">
      <alignment horizontal="center" vertical="center"/>
    </xf>
    <xf numFmtId="9" fontId="13" fillId="0" borderId="0" xfId="0" applyNumberFormat="1" applyFont="1" applyAlignment="1">
      <alignment horizontal="center" vertical="center"/>
    </xf>
    <xf numFmtId="44" fontId="31" fillId="0" borderId="73" xfId="1" applyFont="1" applyFill="1" applyBorder="1" applyAlignment="1">
      <alignment horizontal="center" vertical="center"/>
    </xf>
    <xf numFmtId="9" fontId="31" fillId="0" borderId="73" xfId="2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vertical="center"/>
    </xf>
    <xf numFmtId="0" fontId="13" fillId="3" borderId="8" xfId="0" applyFont="1" applyFill="1" applyBorder="1" applyAlignment="1">
      <alignment horizontal="center" vertical="center"/>
    </xf>
    <xf numFmtId="44" fontId="13" fillId="3" borderId="8" xfId="0" applyNumberFormat="1" applyFont="1" applyFill="1" applyBorder="1" applyAlignment="1">
      <alignment horizontal="center" vertical="center"/>
    </xf>
    <xf numFmtId="1" fontId="13" fillId="3" borderId="8" xfId="0" applyNumberFormat="1" applyFont="1" applyFill="1" applyBorder="1" applyAlignment="1">
      <alignment horizontal="center" vertical="center"/>
    </xf>
    <xf numFmtId="0" fontId="41" fillId="0" borderId="0" xfId="0" applyFont="1"/>
    <xf numFmtId="0" fontId="43" fillId="3" borderId="24" xfId="0" applyFont="1" applyFill="1" applyBorder="1" applyAlignment="1">
      <alignment vertical="center"/>
    </xf>
    <xf numFmtId="0" fontId="43" fillId="3" borderId="20" xfId="0" applyFont="1" applyFill="1" applyBorder="1" applyAlignment="1">
      <alignment horizontal="center" vertical="center"/>
    </xf>
    <xf numFmtId="44" fontId="43" fillId="3" borderId="24" xfId="0" applyNumberFormat="1" applyFont="1" applyFill="1" applyBorder="1" applyAlignment="1">
      <alignment horizontal="center" vertical="center"/>
    </xf>
    <xf numFmtId="9" fontId="43" fillId="3" borderId="20" xfId="0" applyNumberFormat="1" applyFont="1" applyFill="1" applyBorder="1" applyAlignment="1">
      <alignment horizontal="center" vertical="center"/>
    </xf>
    <xf numFmtId="9" fontId="43" fillId="3" borderId="23" xfId="0" applyNumberFormat="1" applyFont="1" applyFill="1" applyBorder="1" applyAlignment="1">
      <alignment horizontal="center" vertical="center"/>
    </xf>
    <xf numFmtId="1" fontId="43" fillId="3" borderId="35" xfId="0" applyNumberFormat="1" applyFont="1" applyFill="1" applyBorder="1" applyAlignment="1">
      <alignment horizontal="center" vertical="center"/>
    </xf>
    <xf numFmtId="0" fontId="44" fillId="0" borderId="56" xfId="0" applyFont="1" applyBorder="1" applyAlignment="1">
      <alignment vertical="center"/>
    </xf>
    <xf numFmtId="0" fontId="44" fillId="0" borderId="54" xfId="0" applyFont="1" applyBorder="1" applyAlignment="1">
      <alignment horizontal="center" vertical="center"/>
    </xf>
    <xf numFmtId="44" fontId="44" fillId="0" borderId="56" xfId="0" applyNumberFormat="1" applyFont="1" applyBorder="1" applyAlignment="1">
      <alignment horizontal="center" vertical="center"/>
    </xf>
    <xf numFmtId="9" fontId="44" fillId="0" borderId="33" xfId="0" applyNumberFormat="1" applyFont="1" applyBorder="1" applyAlignment="1">
      <alignment horizontal="center" vertical="center"/>
    </xf>
    <xf numFmtId="9" fontId="44" fillId="0" borderId="65" xfId="0" applyNumberFormat="1" applyFont="1" applyBorder="1" applyAlignment="1">
      <alignment horizontal="center" vertical="center"/>
    </xf>
    <xf numFmtId="9" fontId="44" fillId="0" borderId="56" xfId="0" applyNumberFormat="1" applyFont="1" applyBorder="1" applyAlignment="1">
      <alignment horizontal="center" vertical="center"/>
    </xf>
    <xf numFmtId="0" fontId="44" fillId="0" borderId="65" xfId="0" applyFont="1" applyBorder="1" applyAlignment="1">
      <alignment horizontal="center" vertical="center"/>
    </xf>
    <xf numFmtId="9" fontId="44" fillId="0" borderId="33" xfId="1" applyNumberFormat="1" applyFont="1" applyFill="1" applyBorder="1" applyAlignment="1">
      <alignment horizontal="center" vertical="center"/>
    </xf>
    <xf numFmtId="9" fontId="44" fillId="0" borderId="67" xfId="1" applyNumberFormat="1" applyFont="1" applyFill="1" applyBorder="1" applyAlignment="1">
      <alignment horizontal="center" vertical="center"/>
    </xf>
    <xf numFmtId="0" fontId="44" fillId="0" borderId="67" xfId="0" applyFont="1" applyBorder="1" applyAlignment="1">
      <alignment horizontal="center" vertical="center"/>
    </xf>
    <xf numFmtId="0" fontId="44" fillId="0" borderId="66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44" fontId="44" fillId="0" borderId="0" xfId="0" applyNumberFormat="1" applyFont="1" applyAlignment="1">
      <alignment horizontal="center" vertical="center"/>
    </xf>
    <xf numFmtId="9" fontId="44" fillId="0" borderId="0" xfId="0" applyNumberFormat="1" applyFont="1" applyAlignment="1">
      <alignment horizontal="center" vertical="center"/>
    </xf>
    <xf numFmtId="1" fontId="44" fillId="0" borderId="0" xfId="0" applyNumberFormat="1" applyFont="1" applyAlignment="1">
      <alignment horizontal="center" vertical="center"/>
    </xf>
    <xf numFmtId="0" fontId="24" fillId="0" borderId="0" xfId="0" applyFont="1"/>
    <xf numFmtId="0" fontId="43" fillId="3" borderId="0" xfId="0" applyFont="1" applyFill="1" applyAlignment="1">
      <alignment vertical="center"/>
    </xf>
    <xf numFmtId="0" fontId="43" fillId="3" borderId="15" xfId="0" applyFont="1" applyFill="1" applyBorder="1" applyAlignment="1">
      <alignment horizontal="center" vertical="center"/>
    </xf>
    <xf numFmtId="44" fontId="43" fillId="3" borderId="0" xfId="0" applyNumberFormat="1" applyFont="1" applyFill="1" applyAlignment="1">
      <alignment horizontal="center" vertical="center"/>
    </xf>
    <xf numFmtId="9" fontId="43" fillId="3" borderId="15" xfId="0" applyNumberFormat="1" applyFont="1" applyFill="1" applyBorder="1" applyAlignment="1">
      <alignment horizontal="center" vertical="center"/>
    </xf>
    <xf numFmtId="9" fontId="43" fillId="3" borderId="62" xfId="0" applyNumberFormat="1" applyFont="1" applyFill="1" applyBorder="1" applyAlignment="1">
      <alignment horizontal="center" vertical="center"/>
    </xf>
    <xf numFmtId="9" fontId="43" fillId="3" borderId="0" xfId="0" applyNumberFormat="1" applyFont="1" applyFill="1" applyAlignment="1">
      <alignment horizontal="center" vertical="center"/>
    </xf>
    <xf numFmtId="1" fontId="43" fillId="3" borderId="39" xfId="0" applyNumberFormat="1" applyFont="1" applyFill="1" applyBorder="1" applyAlignment="1">
      <alignment horizontal="center" vertical="center"/>
    </xf>
    <xf numFmtId="0" fontId="44" fillId="0" borderId="65" xfId="0" applyFont="1" applyBorder="1" applyAlignment="1">
      <alignment vertical="center"/>
    </xf>
    <xf numFmtId="44" fontId="44" fillId="0" borderId="65" xfId="1" applyFont="1" applyFill="1" applyBorder="1" applyAlignment="1">
      <alignment horizontal="center" vertical="center"/>
    </xf>
    <xf numFmtId="9" fontId="44" fillId="0" borderId="65" xfId="2" applyFont="1" applyFill="1" applyBorder="1" applyAlignment="1">
      <alignment horizontal="center" vertical="center"/>
    </xf>
    <xf numFmtId="0" fontId="44" fillId="0" borderId="54" xfId="0" applyFont="1" applyBorder="1" applyAlignment="1">
      <alignment vertical="center"/>
    </xf>
    <xf numFmtId="9" fontId="44" fillId="0" borderId="54" xfId="2" applyFont="1" applyFill="1" applyBorder="1" applyAlignment="1">
      <alignment horizontal="center" vertical="center"/>
    </xf>
    <xf numFmtId="9" fontId="44" fillId="0" borderId="54" xfId="0" applyNumberFormat="1" applyFont="1" applyBorder="1" applyAlignment="1">
      <alignment horizontal="center" vertical="center"/>
    </xf>
    <xf numFmtId="9" fontId="44" fillId="0" borderId="69" xfId="0" applyNumberFormat="1" applyFont="1" applyBorder="1" applyAlignment="1">
      <alignment horizontal="center" vertical="center"/>
    </xf>
    <xf numFmtId="44" fontId="44" fillId="0" borderId="69" xfId="1" applyFont="1" applyFill="1" applyBorder="1" applyAlignment="1">
      <alignment horizontal="center" vertical="center"/>
    </xf>
    <xf numFmtId="0" fontId="44" fillId="0" borderId="67" xfId="0" applyFont="1" applyBorder="1" applyAlignment="1">
      <alignment vertical="center"/>
    </xf>
    <xf numFmtId="44" fontId="44" fillId="0" borderId="14" xfId="1" applyFont="1" applyFill="1" applyBorder="1" applyAlignment="1">
      <alignment horizontal="center" vertical="center"/>
    </xf>
    <xf numFmtId="9" fontId="44" fillId="0" borderId="67" xfId="2" applyFont="1" applyFill="1" applyBorder="1" applyAlignment="1">
      <alignment horizontal="center" vertical="center"/>
    </xf>
    <xf numFmtId="9" fontId="44" fillId="0" borderId="67" xfId="0" applyNumberFormat="1" applyFont="1" applyBorder="1" applyAlignment="1">
      <alignment horizontal="center" vertical="center"/>
    </xf>
    <xf numFmtId="9" fontId="44" fillId="0" borderId="14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vertical="center" textRotation="90"/>
    </xf>
    <xf numFmtId="44" fontId="44" fillId="0" borderId="0" xfId="1" applyFont="1" applyBorder="1" applyAlignment="1">
      <alignment horizontal="center" vertical="center"/>
    </xf>
    <xf numFmtId="9" fontId="44" fillId="0" borderId="0" xfId="2" applyFont="1" applyFill="1" applyBorder="1" applyAlignment="1">
      <alignment horizontal="center" vertical="center"/>
    </xf>
    <xf numFmtId="9" fontId="43" fillId="3" borderId="25" xfId="0" applyNumberFormat="1" applyFont="1" applyFill="1" applyBorder="1" applyAlignment="1">
      <alignment horizontal="center" vertical="center"/>
    </xf>
    <xf numFmtId="1" fontId="43" fillId="3" borderId="20" xfId="0" applyNumberFormat="1" applyFont="1" applyFill="1" applyBorder="1" applyAlignment="1">
      <alignment horizontal="center" vertical="center"/>
    </xf>
    <xf numFmtId="0" fontId="44" fillId="0" borderId="58" xfId="0" applyFont="1" applyBorder="1" applyAlignment="1">
      <alignment vertical="center"/>
    </xf>
    <xf numFmtId="44" fontId="44" fillId="0" borderId="66" xfId="1" applyFont="1" applyFill="1" applyBorder="1" applyAlignment="1">
      <alignment horizontal="center" vertical="center"/>
    </xf>
    <xf numFmtId="44" fontId="44" fillId="0" borderId="54" xfId="1" applyFont="1" applyFill="1" applyBorder="1" applyAlignment="1">
      <alignment horizontal="center" vertical="center"/>
    </xf>
    <xf numFmtId="9" fontId="44" fillId="0" borderId="54" xfId="1" applyNumberFormat="1" applyFont="1" applyFill="1" applyBorder="1" applyAlignment="1">
      <alignment horizontal="center" vertical="center"/>
    </xf>
    <xf numFmtId="44" fontId="44" fillId="0" borderId="33" xfId="1" applyFont="1" applyFill="1" applyBorder="1" applyAlignment="1">
      <alignment horizontal="center" vertical="center"/>
    </xf>
    <xf numFmtId="0" fontId="43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left"/>
    </xf>
    <xf numFmtId="0" fontId="14" fillId="0" borderId="32" xfId="0" applyFont="1" applyBorder="1" applyAlignment="1">
      <alignment horizontal="left"/>
    </xf>
    <xf numFmtId="0" fontId="4" fillId="5" borderId="25" xfId="0" applyFont="1" applyFill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left"/>
    </xf>
    <xf numFmtId="0" fontId="10" fillId="2" borderId="5" xfId="0" applyFont="1" applyFill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7" fillId="0" borderId="6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14" fillId="0" borderId="13" xfId="0" applyFont="1" applyBorder="1" applyAlignment="1">
      <alignment horizontal="left"/>
    </xf>
    <xf numFmtId="0" fontId="14" fillId="0" borderId="34" xfId="0" applyFont="1" applyBorder="1" applyAlignment="1">
      <alignment horizontal="left"/>
    </xf>
    <xf numFmtId="0" fontId="10" fillId="2" borderId="9" xfId="0" applyFont="1" applyFill="1" applyBorder="1" applyAlignment="1">
      <alignment horizontal="left"/>
    </xf>
    <xf numFmtId="0" fontId="10" fillId="2" borderId="8" xfId="0" applyFont="1" applyFill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0" borderId="5" xfId="0" applyFont="1" applyBorder="1" applyAlignment="1">
      <alignment horizontal="left"/>
    </xf>
    <xf numFmtId="0" fontId="4" fillId="5" borderId="22" xfId="0" applyFont="1" applyFill="1" applyBorder="1" applyAlignment="1">
      <alignment horizontal="left"/>
    </xf>
    <xf numFmtId="0" fontId="4" fillId="5" borderId="38" xfId="0" applyFont="1" applyFill="1" applyBorder="1" applyAlignment="1">
      <alignment horizontal="left"/>
    </xf>
    <xf numFmtId="0" fontId="10" fillId="0" borderId="18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0" fontId="10" fillId="2" borderId="3" xfId="0" applyFont="1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21" fillId="0" borderId="0" xfId="0" applyFont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17" fillId="0" borderId="18" xfId="0" applyFont="1" applyBorder="1" applyAlignment="1">
      <alignment horizontal="left"/>
    </xf>
    <xf numFmtId="0" fontId="17" fillId="0" borderId="16" xfId="0" applyFont="1" applyBorder="1" applyAlignment="1">
      <alignment horizontal="left"/>
    </xf>
    <xf numFmtId="0" fontId="14" fillId="0" borderId="31" xfId="0" applyFont="1" applyBorder="1" applyAlignment="1">
      <alignment horizontal="left"/>
    </xf>
    <xf numFmtId="0" fontId="14" fillId="0" borderId="30" xfId="0" applyFont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0" fontId="14" fillId="2" borderId="32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1" xfId="0" applyFont="1" applyFill="1" applyBorder="1" applyAlignment="1">
      <alignment horizontal="left"/>
    </xf>
    <xf numFmtId="0" fontId="34" fillId="0" borderId="60" xfId="0" applyFont="1" applyBorder="1" applyAlignment="1">
      <alignment horizontal="center" vertical="center"/>
    </xf>
    <xf numFmtId="0" fontId="34" fillId="0" borderId="58" xfId="0" applyFont="1" applyBorder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0" fontId="34" fillId="0" borderId="63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4" fillId="0" borderId="57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 textRotation="90"/>
    </xf>
    <xf numFmtId="0" fontId="7" fillId="5" borderId="15" xfId="0" applyFont="1" applyFill="1" applyBorder="1" applyAlignment="1">
      <alignment horizontal="center" vertical="center" textRotation="90"/>
    </xf>
    <xf numFmtId="0" fontId="7" fillId="5" borderId="14" xfId="0" applyFont="1" applyFill="1" applyBorder="1" applyAlignment="1">
      <alignment horizontal="center" vertical="center" textRotation="90"/>
    </xf>
    <xf numFmtId="0" fontId="7" fillId="3" borderId="19" xfId="0" applyFont="1" applyFill="1" applyBorder="1" applyAlignment="1">
      <alignment horizontal="center" vertical="center" textRotation="90"/>
    </xf>
    <xf numFmtId="0" fontId="7" fillId="3" borderId="15" xfId="0" applyFont="1" applyFill="1" applyBorder="1" applyAlignment="1">
      <alignment horizontal="center" vertical="center" textRotation="90"/>
    </xf>
    <xf numFmtId="0" fontId="7" fillId="3" borderId="14" xfId="0" applyFont="1" applyFill="1" applyBorder="1" applyAlignment="1">
      <alignment horizontal="center" vertical="center" textRotation="90"/>
    </xf>
    <xf numFmtId="0" fontId="8" fillId="4" borderId="22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73" xfId="0" applyFont="1" applyFill="1" applyBorder="1" applyAlignment="1">
      <alignment horizontal="center" vertical="center" textRotation="90"/>
    </xf>
    <xf numFmtId="0" fontId="7" fillId="3" borderId="8" xfId="0" applyFont="1" applyFill="1" applyBorder="1" applyAlignment="1">
      <alignment horizontal="center" vertical="center" textRotation="90"/>
    </xf>
    <xf numFmtId="0" fontId="7" fillId="3" borderId="5" xfId="0" applyFont="1" applyFill="1" applyBorder="1" applyAlignment="1">
      <alignment horizontal="center" vertical="center" textRotation="90"/>
    </xf>
    <xf numFmtId="0" fontId="8" fillId="8" borderId="25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23" xfId="0" applyFont="1" applyFill="1" applyBorder="1" applyAlignment="1">
      <alignment horizontal="center" vertical="center"/>
    </xf>
    <xf numFmtId="0" fontId="42" fillId="4" borderId="25" xfId="0" applyFont="1" applyFill="1" applyBorder="1" applyAlignment="1">
      <alignment horizontal="center" vertical="center"/>
    </xf>
    <xf numFmtId="0" fontId="42" fillId="4" borderId="24" xfId="0" applyFont="1" applyFill="1" applyBorder="1" applyAlignment="1">
      <alignment horizontal="center" vertical="center"/>
    </xf>
    <xf numFmtId="0" fontId="42" fillId="4" borderId="23" xfId="0" applyFont="1" applyFill="1" applyBorder="1" applyAlignment="1">
      <alignment horizontal="center" vertical="center"/>
    </xf>
    <xf numFmtId="0" fontId="43" fillId="5" borderId="19" xfId="0" applyFont="1" applyFill="1" applyBorder="1" applyAlignment="1">
      <alignment horizontal="center" vertical="center" textRotation="90"/>
    </xf>
    <xf numFmtId="0" fontId="43" fillId="5" borderId="15" xfId="0" applyFont="1" applyFill="1" applyBorder="1" applyAlignment="1">
      <alignment horizontal="center" vertical="center" textRotation="90"/>
    </xf>
    <xf numFmtId="0" fontId="43" fillId="3" borderId="19" xfId="0" applyFont="1" applyFill="1" applyBorder="1" applyAlignment="1">
      <alignment horizontal="center" vertical="center" textRotation="90"/>
    </xf>
    <xf numFmtId="0" fontId="43" fillId="3" borderId="15" xfId="0" applyFont="1" applyFill="1" applyBorder="1" applyAlignment="1">
      <alignment horizontal="center" vertical="center" textRotation="90"/>
    </xf>
    <xf numFmtId="0" fontId="43" fillId="3" borderId="14" xfId="0" applyFont="1" applyFill="1" applyBorder="1" applyAlignment="1">
      <alignment horizontal="center" vertical="center" textRotation="90"/>
    </xf>
    <xf numFmtId="0" fontId="30" fillId="12" borderId="0" xfId="3" applyFont="1" applyFill="1" applyAlignment="1">
      <alignment horizontal="center" vertical="center"/>
    </xf>
    <xf numFmtId="0" fontId="30" fillId="11" borderId="0" xfId="3" applyFont="1" applyFill="1" applyAlignment="1">
      <alignment horizontal="center" vertical="center"/>
    </xf>
    <xf numFmtId="0" fontId="30" fillId="10" borderId="0" xfId="3" applyFont="1" applyFill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0" fontId="24" fillId="3" borderId="53" xfId="0" applyFont="1" applyFill="1" applyBorder="1" applyAlignment="1">
      <alignment horizontal="center" vertical="center"/>
    </xf>
    <xf numFmtId="0" fontId="24" fillId="3" borderId="52" xfId="0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0" fontId="24" fillId="3" borderId="26" xfId="0" applyFont="1" applyFill="1" applyBorder="1" applyAlignment="1">
      <alignment horizontal="center" vertical="center"/>
    </xf>
    <xf numFmtId="0" fontId="24" fillId="3" borderId="51" xfId="0" applyFont="1" applyFill="1" applyBorder="1" applyAlignment="1">
      <alignment horizontal="center" vertical="center"/>
    </xf>
    <xf numFmtId="0" fontId="44" fillId="0" borderId="58" xfId="0" applyFont="1" applyFill="1" applyBorder="1" applyAlignment="1">
      <alignment vertical="center"/>
    </xf>
  </cellXfs>
  <cellStyles count="4">
    <cellStyle name="Monétaire" xfId="1" builtinId="4"/>
    <cellStyle name="Normal" xfId="0" builtinId="0"/>
    <cellStyle name="Normal 2" xfId="3" xr:uid="{91DE4505-1F2C-4FE3-92C9-E7360A090C9C}"/>
    <cellStyle name="Pourcentage" xfId="2" builtinId="5"/>
  </cellStyles>
  <dxfs count="8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2" formatCode="0.00"/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7" formatCode="#,##0.00\ [$$-C0C];\(#,##0.00[$$-C0C]\)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numFmt numFmtId="167" formatCode="#,##0.00\ [$$-C0C];\(#,##0.00[$$-C0C]\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#,##0.00\ [$$-C0C];\(#,##0.00[$$-C0C]\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4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24"/>
        <family val="3"/>
      </font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4"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24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4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24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vertical="center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rgb="FF000000"/>
        <name val="Gilroy ExtraBold"/>
        <family val="3"/>
        <scheme val="none"/>
      </font>
      <fill>
        <patternFill patternType="none">
          <fgColor rgb="FF000000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z val="18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hyperlink" Target="#navigateur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77052-Beauport'!A1"/><Relationship Id="rId13" Type="http://schemas.openxmlformats.org/officeDocument/2006/relationships/hyperlink" Target="#'77090-Quatres-Bourgeois'!A1"/><Relationship Id="rId3" Type="http://schemas.openxmlformats.org/officeDocument/2006/relationships/hyperlink" Target="#'77007-Val-B&#233;lair'!A1"/><Relationship Id="rId7" Type="http://schemas.openxmlformats.org/officeDocument/2006/relationships/hyperlink" Target="#'77008-St-Nicolas'!A1"/><Relationship Id="rId12" Type="http://schemas.openxmlformats.org/officeDocument/2006/relationships/hyperlink" Target="#'77083-Neuch&#226;tel'!A1"/><Relationship Id="rId17" Type="http://schemas.openxmlformats.org/officeDocument/2006/relationships/hyperlink" Target="#'77032-Donnacona'!A1"/><Relationship Id="rId2" Type="http://schemas.openxmlformats.org/officeDocument/2006/relationships/hyperlink" Target="#'77005-Bouvier'!A1"/><Relationship Id="rId16" Type="http://schemas.openxmlformats.org/officeDocument/2006/relationships/hyperlink" Target="#'77096-Aylmer'!A1"/><Relationship Id="rId1" Type="http://schemas.openxmlformats.org/officeDocument/2006/relationships/hyperlink" Target="#'77004-L&#233;vis'!A1"/><Relationship Id="rId6" Type="http://schemas.openxmlformats.org/officeDocument/2006/relationships/hyperlink" Target="#'77037-St-George'!A1"/><Relationship Id="rId11" Type="http://schemas.openxmlformats.org/officeDocument/2006/relationships/hyperlink" Target="#'77074-Vieux-Qu&#233;bec'!A1"/><Relationship Id="rId5" Type="http://schemas.openxmlformats.org/officeDocument/2006/relationships/hyperlink" Target="#'77036-La Malbaie'!A1"/><Relationship Id="rId15" Type="http://schemas.openxmlformats.org/officeDocument/2006/relationships/hyperlink" Target="#'77053-Thetford'!A1"/><Relationship Id="rId10" Type="http://schemas.openxmlformats.org/officeDocument/2006/relationships/hyperlink" Target="#'77056-Ste-Anne'!A1"/><Relationship Id="rId4" Type="http://schemas.openxmlformats.org/officeDocument/2006/relationships/hyperlink" Target="#'77010-Ste-Foy'!A1"/><Relationship Id="rId9" Type="http://schemas.openxmlformats.org/officeDocument/2006/relationships/hyperlink" Target="#'77044-Les Saules'!A1"/><Relationship Id="rId14" Type="http://schemas.openxmlformats.org/officeDocument/2006/relationships/hyperlink" Target="#'77041-RDL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0</xdr:row>
          <xdr:rowOff>38100</xdr:rowOff>
        </xdr:from>
        <xdr:to>
          <xdr:col>6</xdr:col>
          <xdr:colOff>895350</xdr:colOff>
          <xdr:row>0</xdr:row>
          <xdr:rowOff>352425</xdr:rowOff>
        </xdr:to>
        <xdr:sp macro="" textlink="">
          <xdr:nvSpPr>
            <xdr:cNvPr id="2049" name="Bouton 2" descr="Ajouter lign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87</xdr:row>
          <xdr:rowOff>0</xdr:rowOff>
        </xdr:from>
        <xdr:to>
          <xdr:col>12</xdr:col>
          <xdr:colOff>638175</xdr:colOff>
          <xdr:row>87</xdr:row>
          <xdr:rowOff>485775</xdr:rowOff>
        </xdr:to>
        <xdr:sp macro="" textlink="">
          <xdr:nvSpPr>
            <xdr:cNvPr id="2050" name="Bouton 5" descr="Ajouter lign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18</xdr:row>
          <xdr:rowOff>0</xdr:rowOff>
        </xdr:from>
        <xdr:to>
          <xdr:col>18</xdr:col>
          <xdr:colOff>419100</xdr:colOff>
          <xdr:row>20</xdr:row>
          <xdr:rowOff>9525</xdr:rowOff>
        </xdr:to>
        <xdr:sp macro="" textlink="">
          <xdr:nvSpPr>
            <xdr:cNvPr id="2051" name="Bouton 6" descr="Ajouter lign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31</xdr:row>
          <xdr:rowOff>19050</xdr:rowOff>
        </xdr:from>
        <xdr:to>
          <xdr:col>6</xdr:col>
          <xdr:colOff>866775</xdr:colOff>
          <xdr:row>32</xdr:row>
          <xdr:rowOff>19050</xdr:rowOff>
        </xdr:to>
        <xdr:sp macro="" textlink="">
          <xdr:nvSpPr>
            <xdr:cNvPr id="2052" name="Button 4" descr="Ajouter lign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19</xdr:row>
          <xdr:rowOff>19050</xdr:rowOff>
        </xdr:from>
        <xdr:to>
          <xdr:col>6</xdr:col>
          <xdr:colOff>933450</xdr:colOff>
          <xdr:row>20</xdr:row>
          <xdr:rowOff>9525</xdr:rowOff>
        </xdr:to>
        <xdr:sp macro="" textlink="">
          <xdr:nvSpPr>
            <xdr:cNvPr id="2053" name="Button 5" descr="Ajouter lign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18</xdr:row>
          <xdr:rowOff>0</xdr:rowOff>
        </xdr:from>
        <xdr:to>
          <xdr:col>18</xdr:col>
          <xdr:colOff>419100</xdr:colOff>
          <xdr:row>20</xdr:row>
          <xdr:rowOff>9525</xdr:rowOff>
        </xdr:to>
        <xdr:sp macro="" textlink="">
          <xdr:nvSpPr>
            <xdr:cNvPr id="2054" name="Button 6" descr="Ajouter lign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18</xdr:row>
          <xdr:rowOff>0</xdr:rowOff>
        </xdr:from>
        <xdr:to>
          <xdr:col>18</xdr:col>
          <xdr:colOff>419100</xdr:colOff>
          <xdr:row>19</xdr:row>
          <xdr:rowOff>133350</xdr:rowOff>
        </xdr:to>
        <xdr:sp macro="" textlink="">
          <xdr:nvSpPr>
            <xdr:cNvPr id="2055" name="Button 7" descr="Ajouter lign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44</xdr:row>
          <xdr:rowOff>28575</xdr:rowOff>
        </xdr:from>
        <xdr:to>
          <xdr:col>6</xdr:col>
          <xdr:colOff>895350</xdr:colOff>
          <xdr:row>45</xdr:row>
          <xdr:rowOff>47625</xdr:rowOff>
        </xdr:to>
        <xdr:sp macro="" textlink="">
          <xdr:nvSpPr>
            <xdr:cNvPr id="2056" name="Button 8" descr="Ajouter lign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12</xdr:row>
      <xdr:rowOff>175260</xdr:rowOff>
    </xdr:from>
    <xdr:to>
      <xdr:col>2</xdr:col>
      <xdr:colOff>505385</xdr:colOff>
      <xdr:row>16</xdr:row>
      <xdr:rowOff>66675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" y="365760"/>
          <a:ext cx="1153085" cy="653415"/>
        </a:xfrm>
        <a:prstGeom prst="rect">
          <a:avLst/>
        </a:prstGeom>
      </xdr:spPr>
    </xdr:pic>
    <xdr:clientData/>
  </xdr:twoCellAnchor>
  <xdr:twoCellAnchor editAs="oneCell">
    <xdr:from>
      <xdr:col>9</xdr:col>
      <xdr:colOff>200025</xdr:colOff>
      <xdr:row>12</xdr:row>
      <xdr:rowOff>19050</xdr:rowOff>
    </xdr:from>
    <xdr:to>
      <xdr:col>10</xdr:col>
      <xdr:colOff>352425</xdr:colOff>
      <xdr:row>16</xdr:row>
      <xdr:rowOff>171450</xdr:rowOff>
    </xdr:to>
    <xdr:pic>
      <xdr:nvPicPr>
        <xdr:cNvPr id="5" name="Graphique 4" descr="Question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58025" y="209550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638736</xdr:colOff>
      <xdr:row>0</xdr:row>
      <xdr:rowOff>44824</xdr:rowOff>
    </xdr:from>
    <xdr:to>
      <xdr:col>9</xdr:col>
      <xdr:colOff>358589</xdr:colOff>
      <xdr:row>11</xdr:row>
      <xdr:rowOff>33618</xdr:rowOff>
    </xdr:to>
    <xdr:sp macro="" textlink="">
      <xdr:nvSpPr>
        <xdr:cNvPr id="2" name="Rectangl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00736" y="44824"/>
          <a:ext cx="5815853" cy="2084294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4000">
              <a:latin typeface="Gilroy ExtraBold" panose="00000900000000000000" pitchFamily="50" charset="0"/>
            </a:rPr>
            <a:t>SELECTIONNER</a:t>
          </a:r>
          <a:r>
            <a:rPr lang="fr-CA" sz="4000" baseline="0">
              <a:latin typeface="Gilroy ExtraBold" panose="00000900000000000000" pitchFamily="50" charset="0"/>
            </a:rPr>
            <a:t> VOTRE SUCCURSALE</a:t>
          </a:r>
          <a:endParaRPr lang="fr-CA" sz="4000">
            <a:latin typeface="Gilroy ExtraBold" panose="00000900000000000000" pitchFamily="50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171450</xdr:rowOff>
    </xdr:from>
    <xdr:to>
      <xdr:col>3</xdr:col>
      <xdr:colOff>733425</xdr:colOff>
      <xdr:row>6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00" y="55245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77004 - Lévis</a:t>
          </a:r>
        </a:p>
      </xdr:txBody>
    </xdr:sp>
    <xdr:clientData/>
  </xdr:twoCellAnchor>
  <xdr:twoCellAnchor editAs="absolute">
    <xdr:from>
      <xdr:col>1</xdr:col>
      <xdr:colOff>9525</xdr:colOff>
      <xdr:row>6</xdr:row>
      <xdr:rowOff>161925</xdr:rowOff>
    </xdr:from>
    <xdr:to>
      <xdr:col>3</xdr:col>
      <xdr:colOff>742950</xdr:colOff>
      <xdr:row>10</xdr:row>
      <xdr:rowOff>9525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71525" y="132397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77005 - Bouvier</a:t>
          </a:r>
        </a:p>
      </xdr:txBody>
    </xdr:sp>
    <xdr:clientData/>
  </xdr:twoCellAnchor>
  <xdr:twoCellAnchor editAs="absolute">
    <xdr:from>
      <xdr:col>1</xdr:col>
      <xdr:colOff>9525</xdr:colOff>
      <xdr:row>11</xdr:row>
      <xdr:rowOff>0</xdr:rowOff>
    </xdr:from>
    <xdr:to>
      <xdr:col>3</xdr:col>
      <xdr:colOff>742950</xdr:colOff>
      <xdr:row>14</xdr:row>
      <xdr:rowOff>38100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71525" y="211455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77007 - Val-Bélair</a:t>
          </a:r>
        </a:p>
      </xdr:txBody>
    </xdr:sp>
    <xdr:clientData/>
  </xdr:twoCellAnchor>
  <xdr:twoCellAnchor editAs="absolute">
    <xdr:from>
      <xdr:col>1</xdr:col>
      <xdr:colOff>9525</xdr:colOff>
      <xdr:row>18</xdr:row>
      <xdr:rowOff>152400</xdr:rowOff>
    </xdr:from>
    <xdr:to>
      <xdr:col>3</xdr:col>
      <xdr:colOff>742950</xdr:colOff>
      <xdr:row>22</xdr:row>
      <xdr:rowOff>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71525" y="360045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77010 - Ste-Foy</a:t>
          </a:r>
        </a:p>
      </xdr:txBody>
    </xdr:sp>
    <xdr:clientData/>
  </xdr:twoCellAnchor>
  <xdr:twoCellAnchor editAs="absolute">
    <xdr:from>
      <xdr:col>1</xdr:col>
      <xdr:colOff>0</xdr:colOff>
      <xdr:row>27</xdr:row>
      <xdr:rowOff>28575</xdr:rowOff>
    </xdr:from>
    <xdr:to>
      <xdr:col>3</xdr:col>
      <xdr:colOff>733425</xdr:colOff>
      <xdr:row>30</xdr:row>
      <xdr:rowOff>66675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62000" y="519112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77036 - Malbaie</a:t>
          </a:r>
        </a:p>
      </xdr:txBody>
    </xdr:sp>
    <xdr:clientData/>
  </xdr:twoCellAnchor>
  <xdr:twoCellAnchor editAs="absolute">
    <xdr:from>
      <xdr:col>0</xdr:col>
      <xdr:colOff>752475</xdr:colOff>
      <xdr:row>31</xdr:row>
      <xdr:rowOff>28575</xdr:rowOff>
    </xdr:from>
    <xdr:to>
      <xdr:col>3</xdr:col>
      <xdr:colOff>723900</xdr:colOff>
      <xdr:row>34</xdr:row>
      <xdr:rowOff>66675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52475" y="595312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77037 - St-Georges</a:t>
          </a:r>
        </a:p>
      </xdr:txBody>
    </xdr:sp>
    <xdr:clientData/>
  </xdr:twoCellAnchor>
  <xdr:twoCellAnchor editAs="absolute">
    <xdr:from>
      <xdr:col>1</xdr:col>
      <xdr:colOff>9525</xdr:colOff>
      <xdr:row>14</xdr:row>
      <xdr:rowOff>171450</xdr:rowOff>
    </xdr:from>
    <xdr:to>
      <xdr:col>3</xdr:col>
      <xdr:colOff>742950</xdr:colOff>
      <xdr:row>18</xdr:row>
      <xdr:rowOff>19050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1525" y="285750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77008 - St-Nicolas</a:t>
          </a:r>
        </a:p>
      </xdr:txBody>
    </xdr:sp>
    <xdr:clientData/>
  </xdr:twoCellAnchor>
  <xdr:twoCellAnchor editAs="absolute">
    <xdr:from>
      <xdr:col>5</xdr:col>
      <xdr:colOff>9525</xdr:colOff>
      <xdr:row>15</xdr:row>
      <xdr:rowOff>0</xdr:rowOff>
    </xdr:from>
    <xdr:to>
      <xdr:col>7</xdr:col>
      <xdr:colOff>742950</xdr:colOff>
      <xdr:row>18</xdr:row>
      <xdr:rowOff>38100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819525" y="287655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77052 - Beauport</a:t>
          </a:r>
        </a:p>
      </xdr:txBody>
    </xdr:sp>
    <xdr:clientData/>
  </xdr:twoCellAnchor>
  <xdr:twoCellAnchor editAs="absolute">
    <xdr:from>
      <xdr:col>5</xdr:col>
      <xdr:colOff>9525</xdr:colOff>
      <xdr:row>7</xdr:row>
      <xdr:rowOff>0</xdr:rowOff>
    </xdr:from>
    <xdr:to>
      <xdr:col>7</xdr:col>
      <xdr:colOff>742950</xdr:colOff>
      <xdr:row>10</xdr:row>
      <xdr:rowOff>38100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819525" y="135255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77044 - Les</a:t>
          </a:r>
          <a:r>
            <a:rPr lang="fr-CA" sz="1100" baseline="0">
              <a:latin typeface="Gilroy ExtraBold" panose="00000900000000000000" pitchFamily="50" charset="0"/>
            </a:rPr>
            <a:t> Saules</a:t>
          </a:r>
          <a:endParaRPr lang="fr-CA" sz="1100">
            <a:latin typeface="Gilroy ExtraBold" panose="00000900000000000000" pitchFamily="50" charset="0"/>
          </a:endParaRPr>
        </a:p>
      </xdr:txBody>
    </xdr:sp>
    <xdr:clientData/>
  </xdr:twoCellAnchor>
  <xdr:twoCellAnchor editAs="absolute">
    <xdr:from>
      <xdr:col>5</xdr:col>
      <xdr:colOff>0</xdr:colOff>
      <xdr:row>19</xdr:row>
      <xdr:rowOff>9525</xdr:rowOff>
    </xdr:from>
    <xdr:to>
      <xdr:col>7</xdr:col>
      <xdr:colOff>733425</xdr:colOff>
      <xdr:row>22</xdr:row>
      <xdr:rowOff>47625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810000" y="364807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77056 - Ste-Anne</a:t>
          </a:r>
        </a:p>
      </xdr:txBody>
    </xdr:sp>
    <xdr:clientData/>
  </xdr:twoCellAnchor>
  <xdr:twoCellAnchor editAs="absolute">
    <xdr:from>
      <xdr:col>5</xdr:col>
      <xdr:colOff>0</xdr:colOff>
      <xdr:row>23</xdr:row>
      <xdr:rowOff>9525</xdr:rowOff>
    </xdr:from>
    <xdr:to>
      <xdr:col>7</xdr:col>
      <xdr:colOff>733425</xdr:colOff>
      <xdr:row>26</xdr:row>
      <xdr:rowOff>47625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810000" y="441007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77074 - Vieux-Québec</a:t>
          </a:r>
        </a:p>
      </xdr:txBody>
    </xdr:sp>
    <xdr:clientData/>
  </xdr:twoCellAnchor>
  <xdr:twoCellAnchor editAs="absolute">
    <xdr:from>
      <xdr:col>5</xdr:col>
      <xdr:colOff>0</xdr:colOff>
      <xdr:row>27</xdr:row>
      <xdr:rowOff>19050</xdr:rowOff>
    </xdr:from>
    <xdr:to>
      <xdr:col>7</xdr:col>
      <xdr:colOff>733425</xdr:colOff>
      <xdr:row>30</xdr:row>
      <xdr:rowOff>57150</xdr:rowOff>
    </xdr:to>
    <xdr:sp macro="" textlink="">
      <xdr:nvSpPr>
        <xdr:cNvPr id="13" name="Rectangle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810000" y="518160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77083 - Neuchâtel</a:t>
          </a:r>
        </a:p>
      </xdr:txBody>
    </xdr:sp>
    <xdr:clientData/>
  </xdr:twoCellAnchor>
  <xdr:twoCellAnchor editAs="absolute">
    <xdr:from>
      <xdr:col>5</xdr:col>
      <xdr:colOff>0</xdr:colOff>
      <xdr:row>31</xdr:row>
      <xdr:rowOff>28575</xdr:rowOff>
    </xdr:from>
    <xdr:to>
      <xdr:col>7</xdr:col>
      <xdr:colOff>733425</xdr:colOff>
      <xdr:row>34</xdr:row>
      <xdr:rowOff>66675</xdr:rowOff>
    </xdr:to>
    <xdr:sp macro="" textlink="">
      <xdr:nvSpPr>
        <xdr:cNvPr id="14" name="Rectangle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810000" y="595312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77090 - Quatre-Bourgeois</a:t>
          </a:r>
        </a:p>
      </xdr:txBody>
    </xdr:sp>
    <xdr:clientData/>
  </xdr:twoCellAnchor>
  <xdr:twoCellAnchor editAs="absolute">
    <xdr:from>
      <xdr:col>5</xdr:col>
      <xdr:colOff>19050</xdr:colOff>
      <xdr:row>2</xdr:row>
      <xdr:rowOff>161925</xdr:rowOff>
    </xdr:from>
    <xdr:to>
      <xdr:col>7</xdr:col>
      <xdr:colOff>752475</xdr:colOff>
      <xdr:row>5</xdr:row>
      <xdr:rowOff>180975</xdr:rowOff>
    </xdr:to>
    <xdr:sp macro="" textlink="">
      <xdr:nvSpPr>
        <xdr:cNvPr id="15" name="Rectangle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29050" y="54292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77041 - RDL</a:t>
          </a:r>
        </a:p>
      </xdr:txBody>
    </xdr:sp>
    <xdr:clientData/>
  </xdr:twoCellAnchor>
  <xdr:twoCellAnchor editAs="absolute">
    <xdr:from>
      <xdr:col>5</xdr:col>
      <xdr:colOff>0</xdr:colOff>
      <xdr:row>10</xdr:row>
      <xdr:rowOff>180975</xdr:rowOff>
    </xdr:from>
    <xdr:to>
      <xdr:col>7</xdr:col>
      <xdr:colOff>733425</xdr:colOff>
      <xdr:row>14</xdr:row>
      <xdr:rowOff>28575</xdr:rowOff>
    </xdr:to>
    <xdr:sp macro="" textlink="">
      <xdr:nvSpPr>
        <xdr:cNvPr id="16" name="Rectangle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810000" y="210502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77053 - Thetford</a:t>
          </a:r>
        </a:p>
      </xdr:txBody>
    </xdr:sp>
    <xdr:clientData/>
  </xdr:twoCellAnchor>
  <xdr:twoCellAnchor editAs="absolute">
    <xdr:from>
      <xdr:col>8</xdr:col>
      <xdr:colOff>485775</xdr:colOff>
      <xdr:row>3</xdr:row>
      <xdr:rowOff>9525</xdr:rowOff>
    </xdr:from>
    <xdr:to>
      <xdr:col>11</xdr:col>
      <xdr:colOff>457200</xdr:colOff>
      <xdr:row>6</xdr:row>
      <xdr:rowOff>28575</xdr:rowOff>
    </xdr:to>
    <xdr:sp macro="" textlink="">
      <xdr:nvSpPr>
        <xdr:cNvPr id="17" name="Rectangle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6581775" y="581025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77096 - Aylmer</a:t>
          </a:r>
        </a:p>
      </xdr:txBody>
    </xdr:sp>
    <xdr:clientData/>
  </xdr:twoCellAnchor>
  <xdr:twoCellAnchor editAs="absolute">
    <xdr:from>
      <xdr:col>1</xdr:col>
      <xdr:colOff>19050</xdr:colOff>
      <xdr:row>23</xdr:row>
      <xdr:rowOff>0</xdr:rowOff>
    </xdr:from>
    <xdr:to>
      <xdr:col>3</xdr:col>
      <xdr:colOff>752475</xdr:colOff>
      <xdr:row>26</xdr:row>
      <xdr:rowOff>38100</xdr:rowOff>
    </xdr:to>
    <xdr:sp macro="" textlink="">
      <xdr:nvSpPr>
        <xdr:cNvPr id="18" name="Rectangle 1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781050" y="4400550"/>
          <a:ext cx="2257425" cy="6096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CA" sz="1100">
              <a:latin typeface="Gilroy ExtraBold" panose="00000900000000000000" pitchFamily="50" charset="0"/>
            </a:rPr>
            <a:t>77032 - Donnacona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1071" name="Bouton 2" descr="Ajouter ligne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1076" name="Bouton 2" descr="Ajouter lign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9525</xdr:colOff>
          <xdr:row>1</xdr:row>
          <xdr:rowOff>438150</xdr:rowOff>
        </xdr:to>
        <xdr:sp macro="" textlink="">
          <xdr:nvSpPr>
            <xdr:cNvPr id="1100" name="Button 76" descr="Ajouter lign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3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7169" name="Bouton 2" descr="Ajouter lign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7170" name="Button 2" descr="Ajouter lign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7171" name="Button 3" descr="Ajouter lign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8193" name="Bouton 2" descr="Ajouter lign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8194" name="Button 2" descr="Ajouter ligne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8195" name="Button 3" descr="Ajouter lign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2</xdr:row>
          <xdr:rowOff>0</xdr:rowOff>
        </xdr:to>
        <xdr:sp macro="" textlink="">
          <xdr:nvSpPr>
            <xdr:cNvPr id="15361" name="Bouton 2" descr="Ajouter ligne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15362" name="Button 2" descr="Ajouter lign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9525</xdr:colOff>
          <xdr:row>1</xdr:row>
          <xdr:rowOff>438150</xdr:rowOff>
        </xdr:to>
        <xdr:sp macro="" textlink="">
          <xdr:nvSpPr>
            <xdr:cNvPr id="15363" name="Button 3" descr="Ajouter lign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16385" name="Bouton 2" descr="Ajouter ligne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16386" name="Button 2" descr="Ajouter lign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16387" name="Button 3" descr="Ajouter lign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44033" name="Bouton 2" descr="Ajouter lign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44034" name="Button 2" descr="Ajouter lign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9525</xdr:colOff>
          <xdr:row>1</xdr:row>
          <xdr:rowOff>438150</xdr:rowOff>
        </xdr:to>
        <xdr:sp macro="" textlink="">
          <xdr:nvSpPr>
            <xdr:cNvPr id="44035" name="Button 3" descr="Ajouter ligne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17409" name="Bouton 2" descr="Ajouter lign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17410" name="Button 2" descr="Ajouter lign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17411" name="Button 3" descr="Ajouter ligne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9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18433" name="Bouton 2" descr="Ajouter ligne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18434" name="Button 2" descr="Ajouter ligne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18435" name="Button 3" descr="Ajouter ligne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A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30721" name="Bouton 2" descr="Ajouter lign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30722" name="Button 2" descr="Ajouter lign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30723" name="Button 3" descr="Ajouter ligne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1219200</xdr:colOff>
          <xdr:row>1</xdr:row>
          <xdr:rowOff>466725</xdr:rowOff>
        </xdr:to>
        <xdr:sp macro="" textlink="">
          <xdr:nvSpPr>
            <xdr:cNvPr id="19457" name="Bouton 2" descr="Ajouter lign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19458" name="Button 2" descr="Ajouter lign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C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133350</xdr:colOff>
          <xdr:row>1</xdr:row>
          <xdr:rowOff>438150</xdr:rowOff>
        </xdr:to>
        <xdr:sp macro="" textlink="">
          <xdr:nvSpPr>
            <xdr:cNvPr id="19459" name="Button 3" descr="Ajouter ligne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C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1181100</xdr:colOff>
          <xdr:row>1</xdr:row>
          <xdr:rowOff>466725</xdr:rowOff>
        </xdr:to>
        <xdr:sp macro="" textlink="">
          <xdr:nvSpPr>
            <xdr:cNvPr id="25601" name="Bouton 2" descr="Ajouter lign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25602" name="Button 2" descr="Ajouter lign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25603" name="Button 3" descr="Ajouter ligne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1181100</xdr:colOff>
          <xdr:row>1</xdr:row>
          <xdr:rowOff>466725</xdr:rowOff>
        </xdr:to>
        <xdr:sp macro="" textlink="">
          <xdr:nvSpPr>
            <xdr:cNvPr id="35841" name="Bouton 2" descr="Ajouter lign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35842" name="Button 2" descr="Ajouter lign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35843" name="Button 3" descr="Ajouter ligne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20481" name="Bouton 2" descr="Ajouter lign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20482" name="Button 2" descr="Ajouter lign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F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28575</xdr:colOff>
          <xdr:row>1</xdr:row>
          <xdr:rowOff>438150</xdr:rowOff>
        </xdr:to>
        <xdr:sp macro="" textlink="">
          <xdr:nvSpPr>
            <xdr:cNvPr id="20483" name="Button 3" descr="Ajouter ligne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F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21505" name="Bouton 2" descr="Ajouter lign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21506" name="Button 2" descr="Ajouter lign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9525</xdr:colOff>
          <xdr:row>1</xdr:row>
          <xdr:rowOff>438150</xdr:rowOff>
        </xdr:to>
        <xdr:sp macro="" textlink="">
          <xdr:nvSpPr>
            <xdr:cNvPr id="21507" name="Button 3" descr="Ajouter lign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19050</xdr:rowOff>
        </xdr:from>
        <xdr:to>
          <xdr:col>1</xdr:col>
          <xdr:colOff>885825</xdr:colOff>
          <xdr:row>34</xdr:row>
          <xdr:rowOff>28575</xdr:rowOff>
        </xdr:to>
        <xdr:sp macro="" textlink="">
          <xdr:nvSpPr>
            <xdr:cNvPr id="22529" name="Bouton 2" descr="Ajouter lign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33</xdr:row>
          <xdr:rowOff>47625</xdr:rowOff>
        </xdr:from>
        <xdr:to>
          <xdr:col>7</xdr:col>
          <xdr:colOff>1562100</xdr:colOff>
          <xdr:row>34</xdr:row>
          <xdr:rowOff>0</xdr:rowOff>
        </xdr:to>
        <xdr:sp macro="" textlink="">
          <xdr:nvSpPr>
            <xdr:cNvPr id="22530" name="Button 2" descr="Ajouter lign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33</xdr:row>
          <xdr:rowOff>47625</xdr:rowOff>
        </xdr:from>
        <xdr:to>
          <xdr:col>6</xdr:col>
          <xdr:colOff>1971675</xdr:colOff>
          <xdr:row>34</xdr:row>
          <xdr:rowOff>0</xdr:rowOff>
        </xdr:to>
        <xdr:sp macro="" textlink="">
          <xdr:nvSpPr>
            <xdr:cNvPr id="22531" name="Button 3" descr="Ajouter ligne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23553" name="Bouton 2" descr="Ajouter lign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23554" name="Button 2" descr="Ajouter lign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95250</xdr:colOff>
          <xdr:row>1</xdr:row>
          <xdr:rowOff>438150</xdr:rowOff>
        </xdr:to>
        <xdr:sp macro="" textlink="">
          <xdr:nvSpPr>
            <xdr:cNvPr id="23555" name="Button 3" descr="Ajouter ligne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19050</xdr:rowOff>
        </xdr:from>
        <xdr:to>
          <xdr:col>1</xdr:col>
          <xdr:colOff>1171575</xdr:colOff>
          <xdr:row>1</xdr:row>
          <xdr:rowOff>466725</xdr:rowOff>
        </xdr:to>
        <xdr:sp macro="" textlink="">
          <xdr:nvSpPr>
            <xdr:cNvPr id="40961" name="Bouton 2" descr="Ajouter lign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Fleurs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</xdr:row>
          <xdr:rowOff>47625</xdr:rowOff>
        </xdr:from>
        <xdr:to>
          <xdr:col>7</xdr:col>
          <xdr:colOff>1562100</xdr:colOff>
          <xdr:row>1</xdr:row>
          <xdr:rowOff>438150</xdr:rowOff>
        </xdr:to>
        <xdr:sp macro="" textlink="">
          <xdr:nvSpPr>
            <xdr:cNvPr id="40962" name="Button 2" descr="Ajouter lign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1</xdr:row>
          <xdr:rowOff>47625</xdr:rowOff>
        </xdr:from>
        <xdr:to>
          <xdr:col>7</xdr:col>
          <xdr:colOff>95250</xdr:colOff>
          <xdr:row>1</xdr:row>
          <xdr:rowOff>438150</xdr:rowOff>
        </xdr:to>
        <xdr:sp macro="" textlink="">
          <xdr:nvSpPr>
            <xdr:cNvPr id="40963" name="Button 3" descr="Ajouter ligne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3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outils/Documents%20partages/General/Menu%20Pr&#233;roul&#233;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ment ca marche!"/>
      <sheetName val="Préroulés (O)"/>
      <sheetName val="77004"/>
      <sheetName val="77005"/>
      <sheetName val="77007"/>
      <sheetName val="77008"/>
      <sheetName val="77010"/>
      <sheetName val="77036"/>
      <sheetName val="77037"/>
      <sheetName val="77044"/>
      <sheetName val="77052"/>
      <sheetName val="77056"/>
      <sheetName val="77074"/>
      <sheetName val="77083"/>
      <sheetName val="Base Préroués"/>
      <sheetName val="Menu Préroulé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A7F30B6-B61E-446D-A6F0-9061BACBC720}" name="Tableau21" displayName="Tableau21" ref="B3:H5" totalsRowShown="0" headerRowDxfId="817" dataDxfId="815" headerRowBorderDxfId="816" tableBorderDxfId="814" totalsRowBorderDxfId="813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79240A2D-FE3A-418D-9B75-5F9F31767C9B}" name="Nom" dataDxfId="812" totalsRowDxfId="811"/>
    <tableColumn id="2" xr3:uid="{516794AB-1E64-42F5-9207-CB0FADC14DE4}" name="Marque" dataDxfId="810" totalsRowDxfId="809">
      <calculatedColumnFormula>VLOOKUP(B4,Tableau15[],8,FALSE)</calculatedColumnFormula>
    </tableColumn>
    <tableColumn id="3" xr3:uid="{E0BABBD7-1E3D-4BDA-884D-E48268D85E3D}" name="Prix" dataDxfId="808" totalsRowDxfId="807">
      <calculatedColumnFormula>VLOOKUP(B4,Tableau15[],14,FALSE)</calculatedColumnFormula>
    </tableColumn>
    <tableColumn id="4" xr3:uid="{84225D22-9612-4EE3-9E5D-7915E6E13F89}" name="THC" dataDxfId="806" totalsRowDxfId="805"/>
    <tableColumn id="5" xr3:uid="{6634879F-E261-4113-8A29-28410E3CD925}" name="CBD" dataDxfId="804" totalsRowDxfId="803"/>
    <tableColumn id="7" xr3:uid="{3322B7DB-574A-485B-98F1-17BC0445C382}" name="Arômes" dataDxfId="802" totalsRowDxfId="801">
      <calculatedColumnFormula>VLOOKUP(B4,Tableau15[],10,FALSE)</calculatedColumnFormula>
    </tableColumn>
    <tableColumn id="6" xr3:uid="{ABB0EBD6-2B88-45DF-8D0E-1C1E09CA94F3}" name="Cultivé Qc" dataDxfId="800" totalsRowDxfId="799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CF9D91F-569E-486B-99F1-3DB376287AEE}" name="Tableau22" displayName="Tableau22" ref="B7:H9" totalsRowShown="0" headerRowDxfId="798" dataDxfId="796" headerRowBorderDxfId="797" tableBorderDxfId="795">
  <autoFilter ref="B7:H9" xr:uid="{7FAA100D-C7F0-4ADE-B96A-2A6D0B94E194}"/>
  <sortState xmlns:xlrd2="http://schemas.microsoft.com/office/spreadsheetml/2017/richdata2" ref="B8:H9">
    <sortCondition descending="1" ref="E8:E9"/>
    <sortCondition ref="F8:F9"/>
  </sortState>
  <tableColumns count="7">
    <tableColumn id="1" xr3:uid="{5BCDF511-0866-4914-A2CB-1710A5580DE6}" name="Nom" dataDxfId="794"/>
    <tableColumn id="2" xr3:uid="{2AC06D8F-2746-4B4A-94E2-FB78F81D4388}" name="Marque" dataDxfId="793" dataCellStyle="Monétaire">
      <calculatedColumnFormula>VLOOKUP(B8,Tableau14[],8,FALSE)</calculatedColumnFormula>
    </tableColumn>
    <tableColumn id="3" xr3:uid="{CDD11E7E-8B05-400F-AFBA-30B34607B8AA}" name="Prix" dataDxfId="792" dataCellStyle="Monétaire">
      <calculatedColumnFormula>VLOOKUP(B8,Tableau14[],14,FALSE)</calculatedColumnFormula>
    </tableColumn>
    <tableColumn id="4" xr3:uid="{8ED6813D-38B1-4562-8C66-C427A02E9261}" name="THC" dataDxfId="791" dataCellStyle="Pourcentage"/>
    <tableColumn id="5" xr3:uid="{EA23E349-3437-44EB-A41C-1DDB9858CE48}" name="CBD" dataDxfId="790"/>
    <tableColumn id="7" xr3:uid="{76BBB2A5-1A9E-4325-86A4-6B2E5C5C34E8}" name="Arômes" dataDxfId="789">
      <calculatedColumnFormula>VLOOKUP(B8,Tableau14[],10,FALSE)</calculatedColumnFormula>
    </tableColumn>
    <tableColumn id="6" xr3:uid="{6E0E4D82-5B4F-4BDA-8E95-4DD653D133C6}" name="Cultivé Qc" dataDxfId="788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C92D7B8-0162-4B21-AED2-37174440A102}" name="Tableau24" displayName="Tableau24" ref="B11:H32" totalsRowShown="0" headerRowDxfId="787" dataDxfId="785" headerRowBorderDxfId="786" tableBorderDxfId="784">
  <autoFilter ref="B11:H32" xr:uid="{295A315E-AEC3-4766-BC57-46A899F025DC}"/>
  <sortState xmlns:xlrd2="http://schemas.microsoft.com/office/spreadsheetml/2017/richdata2" ref="B12:H32">
    <sortCondition descending="1" ref="E12:E32"/>
    <sortCondition ref="F12:F32"/>
  </sortState>
  <tableColumns count="7">
    <tableColumn id="1" xr3:uid="{6FDFEAA5-B2D7-4519-87F7-496FAC4ADD30}" name="Nom (Dominance)" dataDxfId="783"/>
    <tableColumn id="2" xr3:uid="{A0467337-298C-44C7-AC8D-15531777F70A}" name="Marque" dataDxfId="782">
      <calculatedColumnFormula>VLOOKUP(B12,Tableau16[],8,FALSE)</calculatedColumnFormula>
    </tableColumn>
    <tableColumn id="3" xr3:uid="{6A01B68C-457A-4A20-A78C-C2FD571C252A}" name="Prix" dataDxfId="781" dataCellStyle="Monétaire">
      <calculatedColumnFormula>VLOOKUP(B12,Tableau16[],14,FALSE)</calculatedColumnFormula>
    </tableColumn>
    <tableColumn id="4" xr3:uid="{E5D525C6-F3CC-40A3-82C2-44F36FEA4DCA}" name="THC" dataDxfId="780" dataCellStyle="Monétaire"/>
    <tableColumn id="5" xr3:uid="{4614578E-7089-40B9-9D81-23516820E720}" name="CBD" dataDxfId="779" dataCellStyle="Monétaire"/>
    <tableColumn id="7" xr3:uid="{BB95E9FC-BDCE-42CE-9DFA-006DE41D5D65}" name="Arômes" dataDxfId="778" dataCellStyle="Monétaire">
      <calculatedColumnFormula>VLOOKUP(B12,Tableau16[],10,FALSE)</calculatedColumnFormula>
    </tableColumn>
    <tableColumn id="6" xr3:uid="{5AF67E87-EAA9-46F6-9CBF-927ED51BAA48}" name="Cultivé Qc" dataDxfId="777" dataCellStyle="Monétaire">
      <calculatedColumnFormula>VLOOKUP(B12,Tableau16[],4,FALSE)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470CE7-29B8-43AE-868B-FE03619DFA70}" name="Tableau212" displayName="Tableau212" ref="B3:H5" totalsRowShown="0" headerRowDxfId="776" dataDxfId="774" headerRowBorderDxfId="775" tableBorderDxfId="773" totalsRowBorderDxfId="772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2F9736DA-77FD-4F1E-9B55-92291F78CB3F}" name="Nom" dataDxfId="771" totalsRowDxfId="770"/>
    <tableColumn id="2" xr3:uid="{6C604D6A-E0FE-42E1-ADFD-025ECC142E5C}" name="Marque" dataDxfId="769" totalsRowDxfId="768">
      <calculatedColumnFormula>VLOOKUP(B4,Tableau15[],8,FALSE)</calculatedColumnFormula>
    </tableColumn>
    <tableColumn id="3" xr3:uid="{0A7DC5FF-6B60-4FCA-923F-1096D2426BC7}" name="Prix" dataDxfId="767" totalsRowDxfId="766">
      <calculatedColumnFormula>VLOOKUP(B4,Tableau15[],14,FALSE)</calculatedColumnFormula>
    </tableColumn>
    <tableColumn id="4" xr3:uid="{5E0853CD-AEB3-42B2-83F7-A1B29C280197}" name="THC" dataDxfId="765" totalsRowDxfId="764"/>
    <tableColumn id="5" xr3:uid="{46F71A99-9A3D-44BC-AD8F-348A7E6F3185}" name="CBD" dataDxfId="763" totalsRowDxfId="762"/>
    <tableColumn id="7" xr3:uid="{DEBA1A41-D211-445B-BE72-A4D71BA035B4}" name="Arômes" dataDxfId="761" totalsRowDxfId="760">
      <calculatedColumnFormula>VLOOKUP(B4,Tableau15[],10,FALSE)</calculatedColumnFormula>
    </tableColumn>
    <tableColumn id="6" xr3:uid="{08F3BF39-E860-4E9C-B22A-BFF522EC90AF}" name="Cultivé Qc" dataDxfId="759" totalsRowDxfId="758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8C8A39-FAF5-4066-B526-47E6F198EBA0}" name="Tableau223" displayName="Tableau223" ref="B7:H10" totalsRowShown="0" headerRowDxfId="757" dataDxfId="755" headerRowBorderDxfId="756" tableBorderDxfId="754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E87A856A-22BC-4BCC-BAD7-0A7A932E8BFA}" name="Nom" dataDxfId="753"/>
    <tableColumn id="2" xr3:uid="{BC956DDF-C973-417E-AE57-74618C5C66DC}" name="Marque" dataDxfId="752" dataCellStyle="Monétaire">
      <calculatedColumnFormula>VLOOKUP(B8,Tableau14[],8,FALSE)</calculatedColumnFormula>
    </tableColumn>
    <tableColumn id="3" xr3:uid="{AF311D57-CC3F-4ED5-A8CC-D9B420089E1C}" name="Prix" dataDxfId="751" dataCellStyle="Monétaire">
      <calculatedColumnFormula>VLOOKUP(B8,Tableau14[],14,FALSE)</calculatedColumnFormula>
    </tableColumn>
    <tableColumn id="4" xr3:uid="{5E3A4AF4-CB23-448C-A7E0-FAF1924B8013}" name="THC" dataDxfId="750" dataCellStyle="Pourcentage"/>
    <tableColumn id="5" xr3:uid="{103D2EFB-1643-4FEA-8FF0-5243C77A2C82}" name="CBD" dataDxfId="749"/>
    <tableColumn id="7" xr3:uid="{AF981DC8-0FEB-42C4-BE46-220E7E3E4CFD}" name="Arômes" dataDxfId="748">
      <calculatedColumnFormula>VLOOKUP(B8,Tableau14[],10,FALSE)</calculatedColumnFormula>
    </tableColumn>
    <tableColumn id="6" xr3:uid="{05629790-549E-4A8A-A024-28946DF7AA0E}" name="Cultivé Qc" dataDxfId="747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40EE816-99F4-47C6-BEFD-1FCACA6807FB}" name="Tableau249" displayName="Tableau249" ref="B12:H27" totalsRowShown="0" headerRowDxfId="746" dataDxfId="744" headerRowBorderDxfId="745" tableBorderDxfId="743">
  <autoFilter ref="B12:H27" xr:uid="{295A315E-AEC3-4766-BC57-46A899F025DC}"/>
  <sortState xmlns:xlrd2="http://schemas.microsoft.com/office/spreadsheetml/2017/richdata2" ref="B13:H27">
    <sortCondition descending="1" ref="E13:E27"/>
    <sortCondition ref="F13:F27"/>
  </sortState>
  <tableColumns count="7">
    <tableColumn id="1" xr3:uid="{24B72889-DA31-4976-9F3D-638D7FA71558}" name="Nom (Dominance)" dataDxfId="742"/>
    <tableColumn id="2" xr3:uid="{69695861-28B0-462F-A9B8-F0C5275F581A}" name="Marque" dataDxfId="741">
      <calculatedColumnFormula>VLOOKUP(B13,Tableau16[],8,FALSE)</calculatedColumnFormula>
    </tableColumn>
    <tableColumn id="3" xr3:uid="{4E1B99EA-34C0-4A59-8302-C9CC84658103}" name="Prix" dataDxfId="740" dataCellStyle="Monétaire">
      <calculatedColumnFormula>VLOOKUP(B13,Tableau16[],14,FALSE)</calculatedColumnFormula>
    </tableColumn>
    <tableColumn id="4" xr3:uid="{4025961D-1D90-4625-BD18-920C1C054964}" name="THC" dataDxfId="739" dataCellStyle="Monétaire"/>
    <tableColumn id="5" xr3:uid="{4B136593-294C-44E8-80B1-E7EF92CA376A}" name="CBD" dataDxfId="738" dataCellStyle="Monétaire"/>
    <tableColumn id="7" xr3:uid="{C2627089-593F-4CE0-B068-C3F1B1F2DADE}" name="Arômes" dataDxfId="737" dataCellStyle="Monétaire">
      <calculatedColumnFormula>VLOOKUP(B13,Tableau16[],10,FALSE)</calculatedColumnFormula>
    </tableColumn>
    <tableColumn id="6" xr3:uid="{0703349E-19FF-43B1-BE96-5D71EED2BCE9}" name="Cultivé Qc" dataDxfId="736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3675CDC-A501-4F2B-8CBD-2B8F7DA0E0DD}" name="Tableau21210" displayName="Tableau21210" ref="B3:H5" totalsRowShown="0" headerRowDxfId="735" dataDxfId="733" headerRowBorderDxfId="734" tableBorderDxfId="732" totalsRowBorderDxfId="731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0063CF83-E7C8-4708-87C2-99D816888A9D}" name="Nom" dataDxfId="730" totalsRowDxfId="729"/>
    <tableColumn id="2" xr3:uid="{64C58665-8752-4E83-BF25-E723A3735D7B}" name="Marque" dataDxfId="728" totalsRowDxfId="727">
      <calculatedColumnFormula>VLOOKUP(B4,Tableau15[],8,FALSE)</calculatedColumnFormula>
    </tableColumn>
    <tableColumn id="3" xr3:uid="{B07A5F1A-E2B0-42F1-86D9-2899AA4116A7}" name="Prix" dataDxfId="726" totalsRowDxfId="725">
      <calculatedColumnFormula>VLOOKUP(B4,Tableau15[],14,FALSE)</calculatedColumnFormula>
    </tableColumn>
    <tableColumn id="4" xr3:uid="{97F2F1F7-F970-4507-9F85-ABB23DA03E5C}" name="THC" dataDxfId="724" totalsRowDxfId="723"/>
    <tableColumn id="5" xr3:uid="{9C76EB18-3360-41BA-A44F-79E9AFCE78B7}" name="CBD" dataDxfId="722" totalsRowDxfId="721"/>
    <tableColumn id="7" xr3:uid="{1DC08F50-646A-483F-8CE6-8815161F7810}" name="Arômes" dataDxfId="720" totalsRowDxfId="719">
      <calculatedColumnFormula>VLOOKUP(B4,Tableau15[],10,FALSE)</calculatedColumnFormula>
    </tableColumn>
    <tableColumn id="6" xr3:uid="{A81843F7-2DF4-4741-A454-B3DE2ADCAE73}" name="Cultivé Qc" dataDxfId="718" totalsRowDxfId="717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0F78ED-84AF-41DC-8D57-08A80B92CC64}" name="Tableau22311" displayName="Tableau22311" ref="B7:H10" totalsRowShown="0" headerRowDxfId="716" dataDxfId="714" headerRowBorderDxfId="715" tableBorderDxfId="713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93334B18-49BE-4220-B71E-F51525798560}" name="Nom" dataDxfId="712"/>
    <tableColumn id="2" xr3:uid="{407D2E0B-FE1B-410D-9806-50C8FB85CCCA}" name="Marque" dataDxfId="711" dataCellStyle="Monétaire">
      <calculatedColumnFormula>VLOOKUP(B8,Tableau14[],8,FALSE)</calculatedColumnFormula>
    </tableColumn>
    <tableColumn id="3" xr3:uid="{C580DB12-302B-4169-8B0E-D6E7A5095991}" name="Prix" dataDxfId="710" dataCellStyle="Monétaire">
      <calculatedColumnFormula>VLOOKUP(B8,Tableau14[],14,FALSE)</calculatedColumnFormula>
    </tableColumn>
    <tableColumn id="4" xr3:uid="{00C05955-6182-4101-9AA1-9B7BB0CE3342}" name="THC" dataDxfId="709" dataCellStyle="Pourcentage"/>
    <tableColumn id="5" xr3:uid="{795111ED-3ED8-48B2-89C3-66737E25B075}" name="CBD" dataDxfId="708"/>
    <tableColumn id="7" xr3:uid="{72C2C3AE-D476-493F-B90E-86A3660C6A95}" name="Arômes" dataDxfId="707">
      <calculatedColumnFormula>VLOOKUP(B8,Tableau14[],10,FALSE)</calculatedColumnFormula>
    </tableColumn>
    <tableColumn id="6" xr3:uid="{854D79DF-67B5-44C6-A3E3-96E05D92552D}" name="Cultivé Qc" dataDxfId="706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F10554-D60C-4EA3-A6DF-99D9C59D2790}" name="Tableau24912" displayName="Tableau24912" ref="B12:H27" totalsRowShown="0" headerRowDxfId="705" dataDxfId="703" headerRowBorderDxfId="704" tableBorderDxfId="702">
  <autoFilter ref="B12:H27" xr:uid="{295A315E-AEC3-4766-BC57-46A899F025DC}"/>
  <sortState xmlns:xlrd2="http://schemas.microsoft.com/office/spreadsheetml/2017/richdata2" ref="B13:H27">
    <sortCondition descending="1" ref="E13:E27"/>
    <sortCondition ref="F13:F27"/>
  </sortState>
  <tableColumns count="7">
    <tableColumn id="1" xr3:uid="{53781AC8-8DC9-4BED-B4BB-9D25FD6E529D}" name="Nom (Dominance)" dataDxfId="701"/>
    <tableColumn id="2" xr3:uid="{59C12694-29D0-4439-B93F-9B23EC6A7F48}" name="Marque" dataDxfId="700">
      <calculatedColumnFormula>VLOOKUP(B13,Tableau16[],8,FALSE)</calculatedColumnFormula>
    </tableColumn>
    <tableColumn id="3" xr3:uid="{9A308DA4-3055-4F50-BEF7-DBC5F26CE1B3}" name="Prix" dataDxfId="699" dataCellStyle="Monétaire">
      <calculatedColumnFormula>VLOOKUP(B13,Tableau16[],14,FALSE)</calculatedColumnFormula>
    </tableColumn>
    <tableColumn id="4" xr3:uid="{BD9122B7-F4FF-4F31-8C10-C01864F6AAC3}" name="THC" dataDxfId="698" dataCellStyle="Monétaire"/>
    <tableColumn id="5" xr3:uid="{650801B5-71C5-436F-A2E3-8AC44B0F5401}" name="CBD" dataDxfId="697" dataCellStyle="Monétaire"/>
    <tableColumn id="7" xr3:uid="{E83CA071-4582-4821-9B0E-87CC518D1E71}" name="Arômes" dataDxfId="696" dataCellStyle="Monétaire">
      <calculatedColumnFormula>VLOOKUP(B13,Tableau16[],10,FALSE)</calculatedColumnFormula>
    </tableColumn>
    <tableColumn id="6" xr3:uid="{2CB549BC-71F0-4FE1-BE58-86EB2A7485F5}" name="Cultivé Qc" dataDxfId="695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A1E8C1-A334-4555-9978-8CDCB4E741AD}" name="Tableau2121013" displayName="Tableau2121013" ref="B4:H5" totalsRowShown="0" headerRowDxfId="694" dataDxfId="692" headerRowBorderDxfId="693" tableBorderDxfId="691" totalsRowBorderDxfId="690">
  <autoFilter ref="B4:H5" xr:uid="{73ECDFFE-8E98-451F-9D21-4BAD5F644BBC}"/>
  <sortState xmlns:xlrd2="http://schemas.microsoft.com/office/spreadsheetml/2017/richdata2" ref="B5:H5">
    <sortCondition descending="1" ref="E5"/>
    <sortCondition ref="F5"/>
  </sortState>
  <tableColumns count="7">
    <tableColumn id="1" xr3:uid="{686D72CC-D195-4CD8-825B-6EEA6A16D5EC}" name="Nom" dataDxfId="689"/>
    <tableColumn id="2" xr3:uid="{12F1F811-4D1B-445B-BC3D-CE8464DE8139}" name="Marque" dataDxfId="688" totalsRowDxfId="687">
      <calculatedColumnFormula>VLOOKUP(B5,Tableau15[],8,FALSE)</calculatedColumnFormula>
    </tableColumn>
    <tableColumn id="3" xr3:uid="{DF1CF100-398C-446E-A9BA-9DF1DE3DF306}" name="Prix" dataDxfId="686" totalsRowDxfId="685">
      <calculatedColumnFormula>VLOOKUP(B5,Tableau15[],14,FALSE)</calculatedColumnFormula>
    </tableColumn>
    <tableColumn id="4" xr3:uid="{BF764AD8-7478-4363-9783-31DA6A0F0D20}" name="THC" dataDxfId="684" totalsRowDxfId="683"/>
    <tableColumn id="5" xr3:uid="{0F642901-B02B-4D33-9911-C06F9F81DE80}" name="CBD" dataDxfId="682" totalsRowDxfId="681"/>
    <tableColumn id="7" xr3:uid="{619EA1D4-6E8D-4E77-85AB-34F3E869CE0C}" name="Arômes" dataDxfId="680" totalsRowDxfId="679">
      <calculatedColumnFormula>VLOOKUP(B5,Tableau15[],10,FALSE)</calculatedColumnFormula>
    </tableColumn>
    <tableColumn id="6" xr3:uid="{161A9E6D-A64A-4C06-A25A-407816C07CF0}" name="Cultivé Qc" dataDxfId="678">
      <calculatedColumnFormula>VLOOKUP(B5,Tableau15[],4,FALSE)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4A276E-68A8-43B3-A5FB-DBF538572466}" name="Tableau2231114" displayName="Tableau2231114" ref="B7:H11" totalsRowShown="0" headerRowDxfId="677" dataDxfId="675" headerRowBorderDxfId="676" tableBorderDxfId="674">
  <autoFilter ref="B7:H11" xr:uid="{7FAA100D-C7F0-4ADE-B96A-2A6D0B94E194}"/>
  <sortState xmlns:xlrd2="http://schemas.microsoft.com/office/spreadsheetml/2017/richdata2" ref="B8:H11">
    <sortCondition descending="1" ref="E8:E11"/>
    <sortCondition ref="F8:F11"/>
  </sortState>
  <tableColumns count="7">
    <tableColumn id="1" xr3:uid="{8A7595C1-CBED-4A1A-B262-7FBC018FAB51}" name="Nom" dataDxfId="673"/>
    <tableColumn id="2" xr3:uid="{64B0D42D-C6E9-488A-9545-257EA4873E60}" name="Marque" dataDxfId="672" dataCellStyle="Monétaire">
      <calculatedColumnFormula>VLOOKUP(B8,Tableau14[],8,FALSE)</calculatedColumnFormula>
    </tableColumn>
    <tableColumn id="3" xr3:uid="{E0699FBE-E4A2-464E-8C02-EDB55BEC1292}" name="Prix" dataDxfId="671" dataCellStyle="Monétaire">
      <calculatedColumnFormula>VLOOKUP(B8,Tableau14[],14,FALSE)</calculatedColumnFormula>
    </tableColumn>
    <tableColumn id="4" xr3:uid="{ADF7DDF3-DAB5-4077-86B3-8221551CDD7A}" name="THC" dataDxfId="670" dataCellStyle="Pourcentage"/>
    <tableColumn id="5" xr3:uid="{5A12A7F7-43D5-4D7E-9DEF-B709BA23DCCC}" name="CBD" dataDxfId="669"/>
    <tableColumn id="7" xr3:uid="{031440C8-62E9-4549-9113-BDCD456CAB0F}" name="Arômes" dataDxfId="668">
      <calculatedColumnFormula>VLOOKUP(B8,Tableau14[],10,FALSE)</calculatedColumnFormula>
    </tableColumn>
    <tableColumn id="6" xr3:uid="{562376A8-F9AE-436D-9AE5-371C1501A434}" name="Cultivé Qc" dataDxfId="667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E608E8D-30EB-419B-A671-287350F90760}" name="Tableau2491218" displayName="Tableau2491218" ref="B13:H36" totalsRowShown="0" headerRowDxfId="666" dataDxfId="664" headerRowBorderDxfId="665" tableBorderDxfId="663">
  <autoFilter ref="B13:H36" xr:uid="{295A315E-AEC3-4766-BC57-46A899F025DC}"/>
  <sortState xmlns:xlrd2="http://schemas.microsoft.com/office/spreadsheetml/2017/richdata2" ref="B14:H36">
    <sortCondition descending="1" ref="E14:E36"/>
    <sortCondition ref="F14:F36"/>
  </sortState>
  <tableColumns count="7">
    <tableColumn id="1" xr3:uid="{2C6FB7F2-9B46-49D9-9087-61D3C2C376E4}" name="Nom (Dominance)" dataDxfId="662"/>
    <tableColumn id="2" xr3:uid="{334E826D-7758-4688-B0D4-70596F92BD00}" name="Marque" dataDxfId="661">
      <calculatedColumnFormula>VLOOKUP(B14,Tableau16[],8,FALSE)</calculatedColumnFormula>
    </tableColumn>
    <tableColumn id="3" xr3:uid="{099A3189-2F07-4C7D-A059-A5BA10089DA5}" name="Prix" dataDxfId="660" dataCellStyle="Monétaire">
      <calculatedColumnFormula>VLOOKUP(B14,Tableau16[],14,FALSE)</calculatedColumnFormula>
    </tableColumn>
    <tableColumn id="4" xr3:uid="{328AF3E7-87A9-4904-8A19-620CFA39C8C1}" name="THC" dataDxfId="659" dataCellStyle="Monétaire"/>
    <tableColumn id="5" xr3:uid="{FC98BA14-129C-4764-ABBD-709BE8319B29}" name="CBD" dataDxfId="658" dataCellStyle="Monétaire"/>
    <tableColumn id="7" xr3:uid="{24BE4B7B-5C30-401B-A6BB-CD1F9DEDBFC3}" name="Arômes" dataDxfId="657" dataCellStyle="Monétaire">
      <calculatedColumnFormula>VLOOKUP(B14,Tableau16[],10,FALSE)</calculatedColumnFormula>
    </tableColumn>
    <tableColumn id="6" xr3:uid="{106604D9-8C42-4B16-92DC-D337D1E7F3A7}" name="Cultivé Qc" dataDxfId="656" dataCellStyle="Monétaire">
      <calculatedColumnFormula>VLOOKUP(B14,Tableau16[],4,FALSE)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D3519F-E153-4C74-BA0D-D32A8018715C}" name="Tableau212101319" displayName="Tableau212101319" ref="B3:H5" totalsRowShown="0" headerRowDxfId="655" dataDxfId="653" headerRowBorderDxfId="654" tableBorderDxfId="652" totalsRowBorderDxfId="651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6FC4A1FF-21C3-4457-9A0D-9FCCF384D4AE}" name="Nom" dataDxfId="650" totalsRowDxfId="649"/>
    <tableColumn id="2" xr3:uid="{42BCE6A4-B9FB-4AE4-A59D-1E22B4A1FB66}" name="Marque" dataDxfId="648" totalsRowDxfId="647">
      <calculatedColumnFormula>VLOOKUP(B4,Tableau15[],8,FALSE)</calculatedColumnFormula>
    </tableColumn>
    <tableColumn id="3" xr3:uid="{D49C0731-EE92-47C1-BE00-5E8AAD3FBADF}" name="Prix" dataDxfId="646" totalsRowDxfId="645">
      <calculatedColumnFormula>VLOOKUP(B4,Tableau15[],14,FALSE)</calculatedColumnFormula>
    </tableColumn>
    <tableColumn id="4" xr3:uid="{12F4DD5F-7B4B-43A7-BB0B-F10D4C2EDB01}" name="THC" dataDxfId="644" totalsRowDxfId="643"/>
    <tableColumn id="5" xr3:uid="{B36A22E8-4CF1-4406-87AE-7C412F554E10}" name="CBD" dataDxfId="642" totalsRowDxfId="641"/>
    <tableColumn id="7" xr3:uid="{D45C341E-4CE5-4D75-B11B-F3EEE28D7572}" name="Arômes" dataDxfId="640" totalsRowDxfId="639">
      <calculatedColumnFormula>VLOOKUP(B4,Tableau15[],10,FALSE)</calculatedColumnFormula>
    </tableColumn>
    <tableColumn id="6" xr3:uid="{7496B802-61A4-4822-9B37-EDD9521C3BBB}" name="Cultivé Qc" dataDxfId="638" totalsRowDxfId="637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9FA3F0-1DC4-4390-ACBC-47D9DAA258D7}" name="Tableau223111420" displayName="Tableau223111420" ref="B7:H10" totalsRowShown="0" headerRowDxfId="636" dataDxfId="634" headerRowBorderDxfId="635" tableBorderDxfId="633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687C0AE1-2448-4FB2-8E2D-0B69A23E8718}" name="Nom" dataDxfId="632"/>
    <tableColumn id="2" xr3:uid="{B73208A9-39F0-4E7A-9F4E-9D1B00E527DC}" name="Marque" dataDxfId="631" dataCellStyle="Monétaire">
      <calculatedColumnFormula>VLOOKUP(B8,Tableau14[],8,FALSE)</calculatedColumnFormula>
    </tableColumn>
    <tableColumn id="3" xr3:uid="{292D0C75-532D-445F-9B5D-4A9636998450}" name="Prix" dataDxfId="630" dataCellStyle="Monétaire">
      <calculatedColumnFormula>VLOOKUP(B8,Tableau14[],14,FALSE)</calculatedColumnFormula>
    </tableColumn>
    <tableColumn id="4" xr3:uid="{FAD724BC-7B84-4EA6-B18F-9FBE02FA91A6}" name="THC" dataDxfId="629" dataCellStyle="Pourcentage"/>
    <tableColumn id="5" xr3:uid="{8C9126D3-82C6-4F89-9F63-92759A0E3CED}" name="CBD" dataDxfId="628"/>
    <tableColumn id="7" xr3:uid="{D8C90BC5-D3C6-4A00-B877-FFD78283E927}" name="Arômes" dataDxfId="627">
      <calculatedColumnFormula>VLOOKUP(B8,Tableau14[],10,FALSE)</calculatedColumnFormula>
    </tableColumn>
    <tableColumn id="6" xr3:uid="{4965D5F0-A30E-4711-AF39-83DDD663DD20}" name="Cultivé Qc" dataDxfId="626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43BE7F4-D833-409D-AA89-554E97888C27}" name="Tableau249121821" displayName="Tableau249121821" ref="B12:H27" totalsRowShown="0" headerRowDxfId="625" dataDxfId="623" headerRowBorderDxfId="624" tableBorderDxfId="622">
  <autoFilter ref="B12:H27" xr:uid="{295A315E-AEC3-4766-BC57-46A899F025DC}"/>
  <sortState xmlns:xlrd2="http://schemas.microsoft.com/office/spreadsheetml/2017/richdata2" ref="B13:H27">
    <sortCondition descending="1" ref="E13:E27"/>
    <sortCondition ref="F13:F27"/>
  </sortState>
  <tableColumns count="7">
    <tableColumn id="1" xr3:uid="{74D7F03F-000A-4892-8C67-3D574CB63540}" name="Nom (Dominance)" dataDxfId="621"/>
    <tableColumn id="2" xr3:uid="{4DB66851-EBAC-4341-B1FD-8484E55F1986}" name="Marque" dataDxfId="620">
      <calculatedColumnFormula>VLOOKUP(B13,Tableau16[],8,FALSE)</calculatedColumnFormula>
    </tableColumn>
    <tableColumn id="3" xr3:uid="{2C21EBEA-69FB-4B38-92D9-DF6AD94D35DA}" name="Prix" dataDxfId="619" dataCellStyle="Monétaire">
      <calculatedColumnFormula>VLOOKUP(B13,Tableau16[],14,FALSE)</calculatedColumnFormula>
    </tableColumn>
    <tableColumn id="4" xr3:uid="{3769DF5E-667E-448B-905F-512A98C9EB95}" name="THC" dataDxfId="618" dataCellStyle="Monétaire"/>
    <tableColumn id="5" xr3:uid="{9938C2D0-7CD5-460B-A9D3-4288BEE17B96}" name="CBD" dataDxfId="617" dataCellStyle="Monétaire"/>
    <tableColumn id="7" xr3:uid="{51FFD2D9-21C2-4816-9E98-5630361A7A09}" name="Arômes" dataDxfId="616" dataCellStyle="Monétaire">
      <calculatedColumnFormula>VLOOKUP(B13,Tableau16[],10,FALSE)</calculatedColumnFormula>
    </tableColumn>
    <tableColumn id="6" xr3:uid="{19C8689C-2CCD-410E-AC7C-456973B3C4F5}" name="Cultivé Qc" dataDxfId="615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3FEEF679-F67F-45A8-8808-6CD5AB9EBA2B}" name="Tableau212101319252831343758" displayName="Tableau212101319252831343758" ref="B3:H5" totalsRowShown="0" headerRowDxfId="614" dataDxfId="612" headerRowBorderDxfId="613" tableBorderDxfId="611" totalsRowBorderDxfId="610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52B8B40A-0E09-480D-B85D-B67E8B916EBC}" name="Nom" dataDxfId="609" totalsRowDxfId="608"/>
    <tableColumn id="2" xr3:uid="{8118F34D-F368-4C58-A1B9-6E3B7FF6644D}" name="Marque" dataDxfId="607" totalsRowDxfId="606">
      <calculatedColumnFormula>VLOOKUP(B4,Tableau15[],8,FALSE)</calculatedColumnFormula>
    </tableColumn>
    <tableColumn id="3" xr3:uid="{1F5ADB15-6D22-43E4-B055-65DC9FE8E06A}" name="Prix" dataDxfId="605" totalsRowDxfId="604">
      <calculatedColumnFormula>VLOOKUP(B4,Tableau15[],14,FALSE)</calculatedColumnFormula>
    </tableColumn>
    <tableColumn id="4" xr3:uid="{A0F7EE74-2112-4D2C-8ED4-620A02053D6E}" name="THC" dataDxfId="603" totalsRowDxfId="602"/>
    <tableColumn id="5" xr3:uid="{CACDC53C-E595-460E-9F1C-23D9D818533D}" name="CBD" dataDxfId="601" totalsRowDxfId="600"/>
    <tableColumn id="7" xr3:uid="{66A981A2-58F6-49C6-B73F-692812C1225F}" name="Arômes" dataDxfId="599" totalsRowDxfId="598">
      <calculatedColumnFormula>VLOOKUP(B4,Tableau15[],10,FALSE)</calculatedColumnFormula>
    </tableColumn>
    <tableColumn id="6" xr3:uid="{D8BE9769-B3BA-4FB6-9331-A3B7D9989113}" name="Cultivé Qc" dataDxfId="597" totalsRowDxfId="596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FD4D6C8-06A9-4277-8B0B-229C037C831D}" name="Tableau223111420262932353859" displayName="Tableau223111420262932353859" ref="B7:H11" totalsRowShown="0" headerRowDxfId="595" dataDxfId="593" headerRowBorderDxfId="594" tableBorderDxfId="592">
  <autoFilter ref="B7:H11" xr:uid="{7FAA100D-C7F0-4ADE-B96A-2A6D0B94E194}"/>
  <sortState xmlns:xlrd2="http://schemas.microsoft.com/office/spreadsheetml/2017/richdata2" ref="B8:H11">
    <sortCondition descending="1" ref="E8:E11"/>
    <sortCondition ref="F8:F11"/>
  </sortState>
  <tableColumns count="7">
    <tableColumn id="1" xr3:uid="{3026868E-901C-49B6-BD85-1EF82FE752CF}" name="Nom" dataDxfId="591"/>
    <tableColumn id="2" xr3:uid="{44E9F06E-8753-49F0-B77A-B0F37C227BE4}" name="Marque" dataDxfId="590" dataCellStyle="Monétaire">
      <calculatedColumnFormula>VLOOKUP(B8,Tableau14[],8,FALSE)</calculatedColumnFormula>
    </tableColumn>
    <tableColumn id="3" xr3:uid="{DC9913C1-453C-4A7A-B37B-C502C4338163}" name="Prix" dataDxfId="589" dataCellStyle="Monétaire">
      <calculatedColumnFormula>VLOOKUP(B8,Tableau14[],14,FALSE)</calculatedColumnFormula>
    </tableColumn>
    <tableColumn id="4" xr3:uid="{82DB87DB-AB02-43B0-8C04-235497BE34BB}" name="THC" dataDxfId="588" dataCellStyle="Pourcentage"/>
    <tableColumn id="5" xr3:uid="{18A3C6C7-ACAF-40AA-AD6D-877974EC18D6}" name="CBD" dataDxfId="587"/>
    <tableColumn id="7" xr3:uid="{CE9CD24F-BF85-4360-9F45-9C8B0521392D}" name="Arômes" dataDxfId="586">
      <calculatedColumnFormula>VLOOKUP(B8,Tableau14[],10,FALSE)</calculatedColumnFormula>
    </tableColumn>
    <tableColumn id="6" xr3:uid="{6C10A12B-DF35-4F17-A6FA-78CC559831A0}" name="Cultivé Qc" dataDxfId="585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BB6597F7-CC5D-4BD7-8A57-DB6605E92D72}" name="Tableau249121821273033363960" displayName="Tableau249121821273033363960" ref="B13:H36" totalsRowShown="0" headerRowDxfId="584" dataDxfId="582" headerRowBorderDxfId="583" tableBorderDxfId="581">
  <autoFilter ref="B13:H36" xr:uid="{295A315E-AEC3-4766-BC57-46A899F025DC}"/>
  <sortState xmlns:xlrd2="http://schemas.microsoft.com/office/spreadsheetml/2017/richdata2" ref="B14:H36">
    <sortCondition descending="1" ref="E14:E36"/>
    <sortCondition ref="F14:F36"/>
  </sortState>
  <tableColumns count="7">
    <tableColumn id="1" xr3:uid="{5F67B1CA-C970-42BB-A25D-2A23AA89F07D}" name="Nom (Dominance)" dataDxfId="580"/>
    <tableColumn id="2" xr3:uid="{9A7836DE-0EAB-4D33-B0E4-35CFB1698B84}" name="Marque" dataDxfId="579">
      <calculatedColumnFormula>VLOOKUP(B14,Tableau16[],8,FALSE)</calculatedColumnFormula>
    </tableColumn>
    <tableColumn id="3" xr3:uid="{7AEB893D-D3C3-4D01-B9C4-7EE99B9198A0}" name="Prix" dataDxfId="578" dataCellStyle="Monétaire">
      <calculatedColumnFormula>VLOOKUP(B14,Tableau16[],14,FALSE)</calculatedColumnFormula>
    </tableColumn>
    <tableColumn id="4" xr3:uid="{B200F817-B8AE-40B8-95B2-20997AEBC0DC}" name="THC" dataDxfId="577" dataCellStyle="Monétaire"/>
    <tableColumn id="5" xr3:uid="{6CEDC851-750E-4384-85B7-4FB01C07EC55}" name="CBD" dataDxfId="576" dataCellStyle="Monétaire"/>
    <tableColumn id="7" xr3:uid="{844525AE-287E-4E94-A8CB-601778E53D89}" name="Arômes" dataDxfId="575" dataCellStyle="Monétaire">
      <calculatedColumnFormula>VLOOKUP(B14,Tableau16[],10,FALSE)</calculatedColumnFormula>
    </tableColumn>
    <tableColumn id="6" xr3:uid="{FBE7E0A0-E989-4777-A8B6-C163BCAC933F}" name="Cultivé Qc" dataDxfId="574" dataCellStyle="Monétaire">
      <calculatedColumnFormula>VLOOKUP(B14,Tableau16[],4,FALSE)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EC3CB21-FBFE-4B58-BA08-B6D984E53EC9}" name="Tableau21210131925" displayName="Tableau21210131925" ref="B3:H5" totalsRowShown="0" headerRowDxfId="573" dataDxfId="571" headerRowBorderDxfId="572" tableBorderDxfId="570" totalsRowBorderDxfId="569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69D17BB5-52DB-4970-A760-47EA7EF28C43}" name="Nom" dataDxfId="568" totalsRowDxfId="567"/>
    <tableColumn id="2" xr3:uid="{FDACD998-296F-48EB-917D-7CD95464DBA4}" name="Marque" dataDxfId="566" totalsRowDxfId="565">
      <calculatedColumnFormula>VLOOKUP(B4,Tableau15[],8,FALSE)</calculatedColumnFormula>
    </tableColumn>
    <tableColumn id="3" xr3:uid="{9BFDEF0A-7E5A-4C81-BB31-F96098828577}" name="Prix" dataDxfId="564" totalsRowDxfId="563">
      <calculatedColumnFormula>VLOOKUP(B4,Tableau15[],14,FALSE)</calculatedColumnFormula>
    </tableColumn>
    <tableColumn id="4" xr3:uid="{8B837E5E-0F4E-484A-B24B-509C85E7C0F6}" name="THC" dataDxfId="562" totalsRowDxfId="561"/>
    <tableColumn id="5" xr3:uid="{85E0AB34-83FB-4D8E-8B95-5D356C037CCA}" name="CBD" dataDxfId="560" totalsRowDxfId="559"/>
    <tableColumn id="7" xr3:uid="{FCBF3F51-F042-4234-95FC-7759F2C1F0A8}" name="Arômes" dataDxfId="558" totalsRowDxfId="557">
      <calculatedColumnFormula>VLOOKUP(B4,Tableau15[],10,FALSE)</calculatedColumnFormula>
    </tableColumn>
    <tableColumn id="6" xr3:uid="{CEE7E9DF-0A8B-4DB6-B782-DC9A6FA56FA3}" name="Cultivé Qc" dataDxfId="556" totalsRowDxfId="555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8E0B618-F05A-43E9-802D-58C534636DBA}" name="Tableau22311142026" displayName="Tableau22311142026" ref="B7:H10" totalsRowShown="0" headerRowDxfId="554" dataDxfId="552" headerRowBorderDxfId="553" tableBorderDxfId="551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5F5B147B-C71D-4D37-8952-1F00FB74EEFC}" name="Nom" dataDxfId="550"/>
    <tableColumn id="2" xr3:uid="{062247A6-AAB6-4169-AF36-D635BEA80E26}" name="Marque" dataDxfId="549" dataCellStyle="Monétaire">
      <calculatedColumnFormula>VLOOKUP(B8,Tableau14[],8,FALSE)</calculatedColumnFormula>
    </tableColumn>
    <tableColumn id="3" xr3:uid="{D3FD3798-2B7F-48DA-9CAC-91CC968B4603}" name="Prix" dataDxfId="548" dataCellStyle="Monétaire">
      <calculatedColumnFormula>VLOOKUP(B8,Tableau14[],14,FALSE)</calculatedColumnFormula>
    </tableColumn>
    <tableColumn id="4" xr3:uid="{FCDA129C-13E5-4808-B6BC-E4A9F53835CA}" name="THC" dataDxfId="547" dataCellStyle="Pourcentage"/>
    <tableColumn id="5" xr3:uid="{92BF459B-A5BD-4B2C-B662-03B367CAB8C2}" name="CBD" dataDxfId="546"/>
    <tableColumn id="7" xr3:uid="{FC418590-735D-4684-9273-0DACDDD53A89}" name="Arômes" dataDxfId="545">
      <calculatedColumnFormula>VLOOKUP(B8,Tableau14[],10,FALSE)</calculatedColumnFormula>
    </tableColumn>
    <tableColumn id="6" xr3:uid="{80CCA379-237E-45A2-A2F5-19E91E78FC43}" name="Cultivé Qc" dataDxfId="544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BFEB9FD-083A-4475-AB67-3172932E71E7}" name="Tableau24912182127" displayName="Tableau24912182127" ref="B12:H27" totalsRowShown="0" headerRowDxfId="543" dataDxfId="541" headerRowBorderDxfId="542" tableBorderDxfId="540">
  <autoFilter ref="B12:H27" xr:uid="{295A315E-AEC3-4766-BC57-46A899F025DC}"/>
  <sortState xmlns:xlrd2="http://schemas.microsoft.com/office/spreadsheetml/2017/richdata2" ref="B13:H27">
    <sortCondition descending="1" ref="E13:E27"/>
    <sortCondition ref="F13:F27"/>
  </sortState>
  <tableColumns count="7">
    <tableColumn id="1" xr3:uid="{64E13080-7F5F-446D-8E06-B30F945ED36B}" name="Nom (Dominance)" dataDxfId="539"/>
    <tableColumn id="2" xr3:uid="{50E17D16-B77A-4384-A121-C7F05C831FA9}" name="Marque" dataDxfId="538">
      <calculatedColumnFormula>VLOOKUP(B13,Tableau16[],8,FALSE)</calculatedColumnFormula>
    </tableColumn>
    <tableColumn id="3" xr3:uid="{68D857F7-EA57-4C74-A359-BAEF4408C4E4}" name="Prix" dataDxfId="537" dataCellStyle="Monétaire">
      <calculatedColumnFormula>VLOOKUP(B13,Tableau16[],14,FALSE)</calculatedColumnFormula>
    </tableColumn>
    <tableColumn id="4" xr3:uid="{3DB145F0-4665-416B-8B55-6BF683BF73FE}" name="THC" dataDxfId="536" dataCellStyle="Monétaire"/>
    <tableColumn id="5" xr3:uid="{833E336C-12E2-450A-B10A-F01DCC62BBF3}" name="CBD" dataDxfId="535" dataCellStyle="Monétaire"/>
    <tableColumn id="7" xr3:uid="{B1CE7E77-AF1F-4F8A-9077-3504CA79FA71}" name="Arômes" dataDxfId="534" dataCellStyle="Monétaire">
      <calculatedColumnFormula>VLOOKUP(B13,Tableau16[],10,FALSE)</calculatedColumnFormula>
    </tableColumn>
    <tableColumn id="6" xr3:uid="{0E841132-7AB4-4D51-B290-5433DDBE0F5A}" name="Cultivé Qc" dataDxfId="533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B841844-9D00-4C93-9198-58E8B6E6EC9B}" name="Tableau2121013192528" displayName="Tableau2121013192528" ref="B3:H5" totalsRowShown="0" headerRowDxfId="532" dataDxfId="530" headerRowBorderDxfId="531" tableBorderDxfId="529" totalsRowBorderDxfId="528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A1307EB9-FA94-450C-BC97-A6C908DCB82A}" name="Nom" dataDxfId="527" totalsRowDxfId="526"/>
    <tableColumn id="2" xr3:uid="{63CBDED9-EDE8-4B11-BEC3-262046514A93}" name="Marque" dataDxfId="525" totalsRowDxfId="524">
      <calculatedColumnFormula>VLOOKUP(B4,Tableau15[],8,FALSE)</calculatedColumnFormula>
    </tableColumn>
    <tableColumn id="3" xr3:uid="{A7CF694D-D2BC-4511-A785-375A589E87B2}" name="Prix" dataDxfId="523" totalsRowDxfId="522">
      <calculatedColumnFormula>VLOOKUP(B4,Tableau15[],14,FALSE)</calculatedColumnFormula>
    </tableColumn>
    <tableColumn id="4" xr3:uid="{1E721D09-F076-4E76-AD63-72CC061ADD37}" name="THC" dataDxfId="521" totalsRowDxfId="520"/>
    <tableColumn id="5" xr3:uid="{602C732E-064D-464C-B077-2078AB2EDE8B}" name="CBD" dataDxfId="519" totalsRowDxfId="518"/>
    <tableColumn id="7" xr3:uid="{1A8B2EFE-5E3C-4EA1-8099-E27832B3F85C}" name="Arômes" dataDxfId="517" totalsRowDxfId="516">
      <calculatedColumnFormula>VLOOKUP(B4,Tableau15[],10,FALSE)</calculatedColumnFormula>
    </tableColumn>
    <tableColumn id="6" xr3:uid="{DCAFE494-E351-4C48-9759-337BA04BBCF9}" name="Cultivé Qc" dataDxfId="515" totalsRowDxfId="514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DC29840-F816-48F9-B709-B43034CDF600}" name="Tableau2231114202629" displayName="Tableau2231114202629" ref="B7:H10" totalsRowShown="0" headerRowDxfId="513" dataDxfId="511" headerRowBorderDxfId="512" tableBorderDxfId="510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2E9211DA-1F87-4F4C-88E0-ACCAF0B9358F}" name="Nom" dataDxfId="509"/>
    <tableColumn id="2" xr3:uid="{8767F89A-C7F5-410F-B78F-6472B794678D}" name="Marque" dataDxfId="508" dataCellStyle="Monétaire">
      <calculatedColumnFormula>VLOOKUP(B8,Tableau14[],8,FALSE)</calculatedColumnFormula>
    </tableColumn>
    <tableColumn id="3" xr3:uid="{19DF64D2-2E96-47CE-9A8E-02D6CABA9DB4}" name="Prix" dataDxfId="507" dataCellStyle="Monétaire">
      <calculatedColumnFormula>VLOOKUP(B8,Tableau14[],14,FALSE)</calculatedColumnFormula>
    </tableColumn>
    <tableColumn id="4" xr3:uid="{63192B0E-1F4F-421E-BAB4-59246CFFEBE7}" name="THC" dataDxfId="506" dataCellStyle="Pourcentage"/>
    <tableColumn id="5" xr3:uid="{3B47BC5F-6BDB-407A-A630-B9FB489D44DA}" name="CBD" dataDxfId="505"/>
    <tableColumn id="7" xr3:uid="{9479F9BD-83BC-4BE4-8758-789F155D7DC4}" name="Arômes" dataDxfId="504">
      <calculatedColumnFormula>VLOOKUP(B8,Tableau14[],10,FALSE)</calculatedColumnFormula>
    </tableColumn>
    <tableColumn id="6" xr3:uid="{E4C284F6-962C-4505-99D8-23FC9932F161}" name="Cultivé Qc" dataDxfId="503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4037D8-9AEC-4696-B412-936839A1155D}" name="Tableau2491218212730" displayName="Tableau2491218212730" ref="B12:H27" totalsRowShown="0" headerRowDxfId="502" dataDxfId="500" headerRowBorderDxfId="501" tableBorderDxfId="499">
  <autoFilter ref="B12:H27" xr:uid="{295A315E-AEC3-4766-BC57-46A899F025DC}"/>
  <sortState xmlns:xlrd2="http://schemas.microsoft.com/office/spreadsheetml/2017/richdata2" ref="B13:H27">
    <sortCondition descending="1" ref="E13:E27"/>
    <sortCondition ref="F13:F27"/>
  </sortState>
  <tableColumns count="7">
    <tableColumn id="1" xr3:uid="{6D042E0E-233A-4F47-B70A-2E6271F3EAD1}" name="Nom (Dominance)" dataDxfId="498"/>
    <tableColumn id="2" xr3:uid="{869FBF0E-AE4E-47DD-86F7-C7481BFA3BF1}" name="Marque" dataDxfId="497">
      <calculatedColumnFormula>VLOOKUP(B13,Tableau16[],8,FALSE)</calculatedColumnFormula>
    </tableColumn>
    <tableColumn id="3" xr3:uid="{0E9A2B27-9376-43F0-8591-F7C78FADA119}" name="Prix" dataDxfId="496" dataCellStyle="Monétaire">
      <calculatedColumnFormula>VLOOKUP(B13,Tableau16[],14,FALSE)</calculatedColumnFormula>
    </tableColumn>
    <tableColumn id="4" xr3:uid="{E3B8B952-4E2C-4E03-BBB7-DEE4DFD8695B}" name="THC" dataDxfId="495" dataCellStyle="Monétaire"/>
    <tableColumn id="5" xr3:uid="{4E7718EA-94D3-467B-8D3F-5E88594B512C}" name="CBD" dataDxfId="494" dataCellStyle="Monétaire"/>
    <tableColumn id="7" xr3:uid="{C6C65BDA-89D3-45A9-B735-DAE46604F393}" name="Arômes" dataDxfId="493" dataCellStyle="Monétaire">
      <calculatedColumnFormula>VLOOKUP(B13,Tableau16[],10,FALSE)</calculatedColumnFormula>
    </tableColumn>
    <tableColumn id="6" xr3:uid="{EDCA5CD9-40D3-4B28-9102-94E4DAC41652}" name="Cultivé Qc" dataDxfId="492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DF70F45-390C-458E-B1DA-E1EFCED61CE3}" name="Tableau212101319252849" displayName="Tableau212101319252849" ref="B3:H5" totalsRowShown="0" headerRowDxfId="491" dataDxfId="489" headerRowBorderDxfId="490" tableBorderDxfId="488" totalsRowBorderDxfId="487">
  <autoFilter ref="B3:H5" xr:uid="{2DF70F45-390C-458E-B1DA-E1EFCED61CE3}"/>
  <sortState xmlns:xlrd2="http://schemas.microsoft.com/office/spreadsheetml/2017/richdata2" ref="B4:H5">
    <sortCondition descending="1" ref="E4:E5"/>
    <sortCondition ref="F4:F5"/>
  </sortState>
  <tableColumns count="7">
    <tableColumn id="1" xr3:uid="{442D6167-51A8-4CA2-B465-6AC1E25D8392}" name="Nom" dataDxfId="486" totalsRowDxfId="485"/>
    <tableColumn id="2" xr3:uid="{D4F22A8E-8474-4656-A20F-40ADDC8814CF}" name="Marque" dataDxfId="484" totalsRowDxfId="483">
      <calculatedColumnFormula>VLOOKUP(B4,Tableau15[],8,FALSE)</calculatedColumnFormula>
    </tableColumn>
    <tableColumn id="3" xr3:uid="{98D31E48-A09F-42E3-AB39-2797B3035CEE}" name="Prix" dataDxfId="482" totalsRowDxfId="481">
      <calculatedColumnFormula>VLOOKUP(B4,Tableau15[],14,FALSE)</calculatedColumnFormula>
    </tableColumn>
    <tableColumn id="4" xr3:uid="{6A35D094-D3FC-45BF-9569-D8A5DCA1DCA5}" name="THC" dataDxfId="480" totalsRowDxfId="479"/>
    <tableColumn id="5" xr3:uid="{FB94433D-8857-43CF-9F7A-7B782D3E7811}" name="CBD" dataDxfId="478" totalsRowDxfId="477"/>
    <tableColumn id="7" xr3:uid="{9C3A6847-350C-42EF-B345-8FCC106A133B}" name="Arômes" dataDxfId="476" totalsRowDxfId="475">
      <calculatedColumnFormula>VLOOKUP(B4,Tableau15[],10,FALSE)</calculatedColumnFormula>
    </tableColumn>
    <tableColumn id="6" xr3:uid="{CD82BA9C-8E32-43BD-B41B-96DD77DC23D4}" name="Cultivé Qc" dataDxfId="474" totalsRowDxfId="473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8B5B91C-C4C6-4EF2-BC01-89C272F42B32}" name="Tableau223111420262950" displayName="Tableau223111420262950" ref="B7:H10" totalsRowShown="0" headerRowDxfId="472" dataDxfId="470" headerRowBorderDxfId="471" tableBorderDxfId="469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48CCA340-B267-48B5-A1FC-D51ECB01A173}" name="Nom" dataDxfId="468"/>
    <tableColumn id="2" xr3:uid="{67F0AEAB-C5EF-4CEE-A1AB-3F3BF2AF87B5}" name="Marque" dataDxfId="467" dataCellStyle="Monétaire">
      <calculatedColumnFormula>VLOOKUP(B8,Tableau14[],8,FALSE)</calculatedColumnFormula>
    </tableColumn>
    <tableColumn id="3" xr3:uid="{98254F93-0D14-47F1-8A78-2BF3A43D43CF}" name="Prix" dataDxfId="466" dataCellStyle="Monétaire">
      <calculatedColumnFormula>VLOOKUP(B8,Tableau14[],14,FALSE)</calculatedColumnFormula>
    </tableColumn>
    <tableColumn id="4" xr3:uid="{F007F341-97FF-4829-B053-29F4194B3853}" name="THC" dataDxfId="465" dataCellStyle="Pourcentage"/>
    <tableColumn id="5" xr3:uid="{6B3D8D9D-85DF-4246-BC87-FEA55EEB27C1}" name="CBD" dataDxfId="464"/>
    <tableColumn id="7" xr3:uid="{46D38751-6439-4CF4-BBE4-3868B4BB5D83}" name="Arômes" dataDxfId="463">
      <calculatedColumnFormula>VLOOKUP(B8,Tableau14[],10,FALSE)</calculatedColumnFormula>
    </tableColumn>
    <tableColumn id="6" xr3:uid="{53A5383E-558E-4BC3-BFBC-BCAFB1C55497}" name="Cultivé Qc" dataDxfId="462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5E44D909-5B3E-4C0A-8429-90FDA6084723}" name="Tableau249121821273051" displayName="Tableau249121821273051" ref="B12:H27" totalsRowShown="0" headerRowDxfId="461" dataDxfId="459" headerRowBorderDxfId="460" tableBorderDxfId="458">
  <autoFilter ref="B12:H27" xr:uid="{295A315E-AEC3-4766-BC57-46A899F025DC}"/>
  <sortState xmlns:xlrd2="http://schemas.microsoft.com/office/spreadsheetml/2017/richdata2" ref="B13:H27">
    <sortCondition descending="1" ref="E13:E27"/>
    <sortCondition ref="F13:F27"/>
  </sortState>
  <tableColumns count="7">
    <tableColumn id="1" xr3:uid="{9576690B-945D-4FF4-AD0D-58CD98FA25AB}" name="Nom (Dominance)" dataDxfId="457"/>
    <tableColumn id="2" xr3:uid="{B64005DF-B546-4B41-B538-3AA27DADFFF7}" name="Marque" dataDxfId="456">
      <calculatedColumnFormula>VLOOKUP(B13,Tableau16[],8,FALSE)</calculatedColumnFormula>
    </tableColumn>
    <tableColumn id="3" xr3:uid="{A59045E6-6BD7-49E5-8312-6DD0B5ADB536}" name="Prix" dataDxfId="455" dataCellStyle="Monétaire">
      <calculatedColumnFormula>VLOOKUP(B13,Tableau16[],14,FALSE)</calculatedColumnFormula>
    </tableColumn>
    <tableColumn id="4" xr3:uid="{FD850E56-D9EE-4CF3-8455-6DB1B0FD830E}" name="THC" dataDxfId="454" dataCellStyle="Monétaire"/>
    <tableColumn id="5" xr3:uid="{07F520BD-5C30-4DF9-9F9E-CA5D1CA678A9}" name="CBD" dataDxfId="453" dataCellStyle="Monétaire"/>
    <tableColumn id="7" xr3:uid="{EACA09E3-0960-4B9C-8DFA-D54AAB1D20F3}" name="Arômes" dataDxfId="452" dataCellStyle="Monétaire">
      <calculatedColumnFormula>VLOOKUP(B13,Tableau16[],10,FALSE)</calculatedColumnFormula>
    </tableColumn>
    <tableColumn id="6" xr3:uid="{66A907CE-1767-40B9-9959-D0AB4B7B218E}" name="Cultivé Qc" dataDxfId="451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554BA2C-46B8-4863-BBF9-E7828E61A7C4}" name="Tableau212101319252831" displayName="Tableau212101319252831" ref="B3:H5" totalsRowShown="0" headerRowDxfId="450" dataDxfId="448" headerRowBorderDxfId="449" tableBorderDxfId="447" totalsRowBorderDxfId="446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46E8AD90-6C45-4B97-8882-282835CE8E8B}" name="Nom" dataDxfId="445" totalsRowDxfId="444"/>
    <tableColumn id="2" xr3:uid="{78C6FA36-5A62-4972-80C1-FBFD206C9A8A}" name="Marque" dataDxfId="443" totalsRowDxfId="442">
      <calculatedColumnFormula>VLOOKUP(B4,Tableau15[],8,FALSE)</calculatedColumnFormula>
    </tableColumn>
    <tableColumn id="3" xr3:uid="{88397428-F8F8-4FC5-8697-262BEE2117FB}" name="Prix" dataDxfId="441" totalsRowDxfId="440">
      <calculatedColumnFormula>VLOOKUP(B4,Tableau15[],14,FALSE)</calculatedColumnFormula>
    </tableColumn>
    <tableColumn id="4" xr3:uid="{14F1A9BF-0031-4531-A6BC-FE120B16BDAB}" name="THC" dataDxfId="439" totalsRowDxfId="438"/>
    <tableColumn id="5" xr3:uid="{98D62645-495C-41E4-B4A9-6495A74AEDD5}" name="CBD" dataDxfId="437" totalsRowDxfId="436"/>
    <tableColumn id="7" xr3:uid="{E1D4FE9C-B9C3-4130-A768-3F98EB1BC3CC}" name="Arômes" dataDxfId="435" totalsRowDxfId="434">
      <calculatedColumnFormula>VLOOKUP(B4,Tableau15[],10,FALSE)</calculatedColumnFormula>
    </tableColumn>
    <tableColumn id="6" xr3:uid="{25AD9A36-66A7-4AA9-B5EC-0F36D341D4D0}" name="Cultivé Qc" dataDxfId="433" totalsRowDxfId="432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83568A5-2F84-42A9-8CC2-4C11DAD0012A}" name="Tableau223111420262932" displayName="Tableau223111420262932" ref="B7:H10" totalsRowShown="0" headerRowDxfId="431" dataDxfId="429" headerRowBorderDxfId="430" tableBorderDxfId="428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FD639845-2944-477A-8E02-89628541B552}" name="Nom" dataDxfId="427"/>
    <tableColumn id="2" xr3:uid="{57C37A00-8077-497C-A1B8-82877F641AEA}" name="Marque" dataDxfId="426" dataCellStyle="Monétaire">
      <calculatedColumnFormula>VLOOKUP(B8,Tableau14[],8,FALSE)</calculatedColumnFormula>
    </tableColumn>
    <tableColumn id="3" xr3:uid="{624C1B7F-A88F-422E-91C3-508A8A111479}" name="Prix" dataDxfId="425" dataCellStyle="Monétaire">
      <calculatedColumnFormula>VLOOKUP(B8,Tableau14[],14,FALSE)</calculatedColumnFormula>
    </tableColumn>
    <tableColumn id="4" xr3:uid="{DD6DDA80-117C-4C73-9144-176D494E16CB}" name="THC" dataDxfId="424" dataCellStyle="Pourcentage"/>
    <tableColumn id="5" xr3:uid="{10CC973D-2E19-4AFE-A344-4DD9A713B5CE}" name="CBD" dataDxfId="423"/>
    <tableColumn id="7" xr3:uid="{1C90FAC9-00C6-40ED-A62F-D84C92180B4A}" name="Arômes" dataDxfId="422">
      <calculatedColumnFormula>VLOOKUP(B8,Tableau14[],10,FALSE)</calculatedColumnFormula>
    </tableColumn>
    <tableColumn id="6" xr3:uid="{93C4DBA9-822B-432A-BE5D-7F619C31F99E}" name="Cultivé Qc" dataDxfId="421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16BA42-C052-4ECD-91D0-A28A8982A817}" name="Tableau249121821273033" displayName="Tableau249121821273033" ref="B12:H29" totalsRowShown="0" headerRowDxfId="420" dataDxfId="418" headerRowBorderDxfId="419" tableBorderDxfId="417">
  <autoFilter ref="B12:H29" xr:uid="{295A315E-AEC3-4766-BC57-46A899F025DC}"/>
  <sortState xmlns:xlrd2="http://schemas.microsoft.com/office/spreadsheetml/2017/richdata2" ref="B13:H29">
    <sortCondition descending="1" ref="E13:E29"/>
    <sortCondition ref="F13:F29"/>
  </sortState>
  <tableColumns count="7">
    <tableColumn id="1" xr3:uid="{142BF5D0-854A-4E2C-B036-2E9CC09E4F28}" name="Nom (Dominance)" dataDxfId="416"/>
    <tableColumn id="2" xr3:uid="{F254275B-8623-450A-AFEC-BF1E882602B9}" name="Marque" dataDxfId="415">
      <calculatedColumnFormula>VLOOKUP(B13,Tableau16[],8,FALSE)</calculatedColumnFormula>
    </tableColumn>
    <tableColumn id="3" xr3:uid="{87CD36F1-3BC3-42D1-8C86-E3441812F8DA}" name="Prix" dataDxfId="414" dataCellStyle="Monétaire">
      <calculatedColumnFormula>VLOOKUP(B13,Tableau16[],14,FALSE)</calculatedColumnFormula>
    </tableColumn>
    <tableColumn id="4" xr3:uid="{620B72CD-6B22-4405-87BD-B7D2B8E6BC20}" name="THC" dataDxfId="413" dataCellStyle="Monétaire"/>
    <tableColumn id="5" xr3:uid="{3541CA09-AA31-4EBC-829D-D788F5FC6E87}" name="CBD" dataDxfId="412" dataCellStyle="Monétaire"/>
    <tableColumn id="7" xr3:uid="{8E40CE0A-2EC2-4965-8D99-D491ACEBB72E}" name="Arômes" dataDxfId="411" dataCellStyle="Monétaire">
      <calculatedColumnFormula>VLOOKUP(B13,Tableau16[],10,FALSE)</calculatedColumnFormula>
    </tableColumn>
    <tableColumn id="6" xr3:uid="{E93DE456-DE7B-449A-B167-FB06DE1C7F7A}" name="Cultivé Qc" dataDxfId="410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CCF6CD6-588E-426F-83BF-ED9E1E2BD160}" name="Tableau21210131925283146" displayName="Tableau21210131925283146" ref="B3:H4" totalsRowShown="0" headerRowDxfId="409" dataDxfId="407" headerRowBorderDxfId="408" tableBorderDxfId="406" totalsRowBorderDxfId="405">
  <autoFilter ref="B3:H4" xr:uid="{73ECDFFE-8E98-451F-9D21-4BAD5F644BBC}"/>
  <sortState xmlns:xlrd2="http://schemas.microsoft.com/office/spreadsheetml/2017/richdata2" ref="B4:H4">
    <sortCondition descending="1" ref="E4"/>
    <sortCondition ref="F4"/>
  </sortState>
  <tableColumns count="7">
    <tableColumn id="1" xr3:uid="{AA680169-C17F-490A-9BDD-3FF86EAA3F69}" name="Nom" dataDxfId="404" totalsRowDxfId="403"/>
    <tableColumn id="2" xr3:uid="{4908B0FA-2F99-4725-ABD3-F9C027ACF174}" name="Marque" dataDxfId="402" totalsRowDxfId="401">
      <calculatedColumnFormula>VLOOKUP(B4,Tableau15[],8,FALSE)</calculatedColumnFormula>
    </tableColumn>
    <tableColumn id="3" xr3:uid="{C9E82E68-7CA8-4460-A1B3-BD1E0F733C40}" name="Prix" dataDxfId="400" totalsRowDxfId="399">
      <calculatedColumnFormula>VLOOKUP(B4,Tableau15[],14,FALSE)</calculatedColumnFormula>
    </tableColumn>
    <tableColumn id="4" xr3:uid="{BA5489D2-6583-4A0F-8896-A71113019B09}" name="THC" dataDxfId="398" totalsRowDxfId="397"/>
    <tableColumn id="5" xr3:uid="{9A571651-38B0-4DB5-9BB6-A32AF7366741}" name="CBD" dataDxfId="396" totalsRowDxfId="395"/>
    <tableColumn id="7" xr3:uid="{B86BA186-F40A-496F-8307-82A962F78A61}" name="Arômes" dataDxfId="394" totalsRowDxfId="393">
      <calculatedColumnFormula>VLOOKUP(B4,Tableau15[],10,FALSE)</calculatedColumnFormula>
    </tableColumn>
    <tableColumn id="6" xr3:uid="{2849705B-3312-48E0-97F1-6F9A7983AA35}" name="Cultivé Qc" dataDxfId="392" totalsRowDxfId="391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346359D-5CAC-47AA-A605-B631E96961BF}" name="Tableau22311142026293247" displayName="Tableau22311142026293247" ref="B6:H10" totalsRowShown="0" headerRowDxfId="390" dataDxfId="388" headerRowBorderDxfId="389" tableBorderDxfId="387">
  <autoFilter ref="B6:H10" xr:uid="{7FAA100D-C7F0-4ADE-B96A-2A6D0B94E194}"/>
  <sortState xmlns:xlrd2="http://schemas.microsoft.com/office/spreadsheetml/2017/richdata2" ref="B7:H10">
    <sortCondition descending="1" ref="E7:E10"/>
    <sortCondition ref="F7:F10"/>
  </sortState>
  <tableColumns count="7">
    <tableColumn id="1" xr3:uid="{8990CEA3-CEA1-46A3-B70A-D3E7B926B586}" name="Nom" dataDxfId="386"/>
    <tableColumn id="2" xr3:uid="{0B2DC415-4500-4A6E-AE9C-306DECD33DED}" name="Marque" dataDxfId="385" dataCellStyle="Monétaire">
      <calculatedColumnFormula>VLOOKUP(B7,Tableau14[],8,FALSE)</calculatedColumnFormula>
    </tableColumn>
    <tableColumn id="3" xr3:uid="{A5527757-A24D-4826-BE8C-336FD6FBABD7}" name="Prix" dataDxfId="384" dataCellStyle="Monétaire">
      <calculatedColumnFormula>VLOOKUP(B7,Tableau14[],14,FALSE)</calculatedColumnFormula>
    </tableColumn>
    <tableColumn id="4" xr3:uid="{6FBCDE1C-E7EC-472B-B0FB-87CE6944031E}" name="THC" dataDxfId="383" dataCellStyle="Pourcentage"/>
    <tableColumn id="5" xr3:uid="{DF7CD623-972B-4A93-9B83-4A4EE1D98FE1}" name="CBD" dataDxfId="382"/>
    <tableColumn id="7" xr3:uid="{240BFA34-4CDC-4E38-B7C4-7487D010E425}" name="Arômes" dataDxfId="381">
      <calculatedColumnFormula>VLOOKUP(B7,Tableau14[],10,FALSE)</calculatedColumnFormula>
    </tableColumn>
    <tableColumn id="6" xr3:uid="{4D984414-E759-4A17-8706-23D88B3ABB2C}" name="Cultivé Qc" dataDxfId="380" dataCellStyle="Monétaire">
      <calculatedColumnFormula>VLOOKUP(B7,Tableau14[],4,FALSE)</calculatedColumnFormula>
    </tableColumn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CA0D07D-1465-49C8-883F-0506A29EBC72}" name="Tableau24912182127303348" displayName="Tableau24912182127303348" ref="B13:H37" totalsRowShown="0" headerRowDxfId="379" dataDxfId="377" headerRowBorderDxfId="378" tableBorderDxfId="376">
  <autoFilter ref="B13:H37" xr:uid="{295A315E-AEC3-4766-BC57-46A899F025DC}"/>
  <sortState xmlns:xlrd2="http://schemas.microsoft.com/office/spreadsheetml/2017/richdata2" ref="B14:H37">
    <sortCondition descending="1" ref="E14:E37"/>
    <sortCondition ref="F14:F37"/>
  </sortState>
  <tableColumns count="7">
    <tableColumn id="1" xr3:uid="{D1D57B8B-9FC4-48AB-BB6C-98C2DEAF3AE0}" name="Nom (Dominance)" dataDxfId="375"/>
    <tableColumn id="2" xr3:uid="{98346B1E-2A1E-4DC1-A6F2-6CE3D8E9E2AF}" name="Marque" dataDxfId="374">
      <calculatedColumnFormula>VLOOKUP(B14,Tableau16[],8,FALSE)</calculatedColumnFormula>
    </tableColumn>
    <tableColumn id="3" xr3:uid="{61ED5996-9A37-45FF-991D-FA3BDF47ACF3}" name="Prix" dataDxfId="373" dataCellStyle="Monétaire">
      <calculatedColumnFormula>VLOOKUP(B14,Tableau16[],14,FALSE)</calculatedColumnFormula>
    </tableColumn>
    <tableColumn id="4" xr3:uid="{F76143E1-C6EC-4760-AFFC-FE803E542C70}" name="THC" dataDxfId="372" dataCellStyle="Monétaire"/>
    <tableColumn id="5" xr3:uid="{DBA3472E-0214-492E-A046-D10187E45291}" name="CBD" dataDxfId="371" dataCellStyle="Monétaire"/>
    <tableColumn id="7" xr3:uid="{13A470E6-B945-4CF8-854C-AEC2967BB627}" name="Arômes" dataDxfId="370" dataCellStyle="Monétaire">
      <calculatedColumnFormula>VLOOKUP(B14,Tableau16[],10,FALSE)</calculatedColumnFormula>
    </tableColumn>
    <tableColumn id="6" xr3:uid="{A1B80713-EDEF-4A8C-A6FE-5BF52E1DAFA4}" name="Cultivé Qc" dataDxfId="369" dataCellStyle="Monétaire">
      <calculatedColumnFormula>VLOOKUP(B14,Tableau16[],4,FALSE)</calculatedColumnFormula>
    </tableColumn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0DC74CE-AB9E-4B7B-B455-A74512B6BA36}" name="Tableau2121013192528314652" displayName="Tableau2121013192528314652" ref="B3:H5" totalsRowShown="0" headerRowDxfId="368" dataDxfId="366" headerRowBorderDxfId="367" tableBorderDxfId="365" totalsRowBorderDxfId="364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90F3B607-0366-43BE-9854-876F04FA5CF9}" name="Nom" dataDxfId="363" totalsRowDxfId="362"/>
    <tableColumn id="2" xr3:uid="{1F1ED9AB-CEE4-458F-AE73-319004D3D149}" name="Marque" dataDxfId="361" totalsRowDxfId="360">
      <calculatedColumnFormula>VLOOKUP(B4,Tableau15[],8,FALSE)</calculatedColumnFormula>
    </tableColumn>
    <tableColumn id="3" xr3:uid="{2799F8C1-BD06-4A95-992E-D5477F47D238}" name="Prix" dataDxfId="359" totalsRowDxfId="358">
      <calculatedColumnFormula>VLOOKUP(B4,Tableau15[],14,FALSE)</calculatedColumnFormula>
    </tableColumn>
    <tableColumn id="4" xr3:uid="{5E16D534-A29A-4992-A0BD-7D09FB4E3A7C}" name="THC" dataDxfId="357" totalsRowDxfId="356"/>
    <tableColumn id="5" xr3:uid="{1A16FB85-3832-4536-8B1D-4DF1423E1E0D}" name="CBD" dataDxfId="355" totalsRowDxfId="354"/>
    <tableColumn id="7" xr3:uid="{92AF9089-19F4-40FE-BC3D-508746DFB073}" name="Arômes" dataDxfId="353" totalsRowDxfId="352">
      <calculatedColumnFormula>VLOOKUP(B4,Tableau15[],10,FALSE)</calculatedColumnFormula>
    </tableColumn>
    <tableColumn id="6" xr3:uid="{975EA22C-502E-4336-AEC7-0B813A960ECF}" name="Cultivé Qc" dataDxfId="351" totalsRowDxfId="350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F41FB36-E9EB-4018-8D0A-10868FFE2D21}" name="Tableau2231114202629324753" displayName="Tableau2231114202629324753" ref="B7:H11" totalsRowShown="0" headerRowDxfId="349" dataDxfId="347" headerRowBorderDxfId="348" tableBorderDxfId="346">
  <autoFilter ref="B7:H11" xr:uid="{7FAA100D-C7F0-4ADE-B96A-2A6D0B94E194}"/>
  <sortState xmlns:xlrd2="http://schemas.microsoft.com/office/spreadsheetml/2017/richdata2" ref="B8:H11">
    <sortCondition descending="1" ref="E8:E11"/>
    <sortCondition ref="F8:F11"/>
  </sortState>
  <tableColumns count="7">
    <tableColumn id="1" xr3:uid="{9E40D585-5824-4BCF-A52C-528C9FEA21F4}" name="Nom" dataDxfId="345"/>
    <tableColumn id="2" xr3:uid="{6DF5444F-B1E7-4EDA-80EA-43D4A88203D0}" name="Marque" dataDxfId="344" dataCellStyle="Monétaire">
      <calculatedColumnFormula>VLOOKUP(B8,Tableau14[],8,FALSE)</calculatedColumnFormula>
    </tableColumn>
    <tableColumn id="3" xr3:uid="{33141CB1-C273-4A65-A058-BED8275336BF}" name="Prix" dataDxfId="343" dataCellStyle="Monétaire">
      <calculatedColumnFormula>VLOOKUP(B8,Tableau14[],14,FALSE)</calculatedColumnFormula>
    </tableColumn>
    <tableColumn id="4" xr3:uid="{4AC0369A-F071-4F46-ACE7-3ED22352EAA6}" name="THC" dataDxfId="342" dataCellStyle="Pourcentage"/>
    <tableColumn id="5" xr3:uid="{7C3A7778-73EC-4490-8AA3-21743331A677}" name="CBD" dataDxfId="341"/>
    <tableColumn id="7" xr3:uid="{1C1960A2-2F8C-4E84-B60B-53F9DEE9A7C0}" name="Arômes" dataDxfId="340">
      <calculatedColumnFormula>VLOOKUP(B8,Tableau14[],10,FALSE)</calculatedColumnFormula>
    </tableColumn>
    <tableColumn id="6" xr3:uid="{D164A3E9-DB5D-4651-A2B9-B48D3AA0F6F1}" name="Cultivé Qc" dataDxfId="339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51C86015-C86C-4333-9739-6EBFA368F746}" name="Tableau2491218212730334854" displayName="Tableau2491218212730334854" ref="B14:H38" totalsRowShown="0" headerRowDxfId="338" dataDxfId="336" headerRowBorderDxfId="337" tableBorderDxfId="335">
  <autoFilter ref="B14:H38" xr:uid="{295A315E-AEC3-4766-BC57-46A899F025DC}"/>
  <sortState xmlns:xlrd2="http://schemas.microsoft.com/office/spreadsheetml/2017/richdata2" ref="B15:H38">
    <sortCondition descending="1" ref="E15:E38"/>
    <sortCondition ref="F15:F38"/>
  </sortState>
  <tableColumns count="7">
    <tableColumn id="1" xr3:uid="{2A46B0E4-DDB0-4342-AAAE-17FC57857585}" name="Nom (Dominance)" dataDxfId="334"/>
    <tableColumn id="2" xr3:uid="{1E053E0D-8855-47C0-BC61-007083EF5621}" name="Marque" dataDxfId="333">
      <calculatedColumnFormula>VLOOKUP(B15,Tableau16[],8,FALSE)</calculatedColumnFormula>
    </tableColumn>
    <tableColumn id="3" xr3:uid="{99FD2853-B7FE-452F-AB53-4BABE6F2379A}" name="Prix" dataDxfId="332" dataCellStyle="Monétaire">
      <calculatedColumnFormula>VLOOKUP(B15,Tableau16[],14,FALSE)</calculatedColumnFormula>
    </tableColumn>
    <tableColumn id="4" xr3:uid="{C609BA15-D5AF-4CB7-ABC1-8EC4C9A3EBE6}" name="THC" dataDxfId="331" dataCellStyle="Monétaire"/>
    <tableColumn id="5" xr3:uid="{EE811B4D-3BF5-4324-A954-1CDF702B1C7D}" name="CBD" dataDxfId="330" dataCellStyle="Monétaire"/>
    <tableColumn id="7" xr3:uid="{A310E9A0-B9B4-45A0-9C62-D26702B3D07E}" name="Arômes" dataDxfId="329" dataCellStyle="Monétaire">
      <calculatedColumnFormula>VLOOKUP(B15,Tableau16[],10,FALSE)</calculatedColumnFormula>
    </tableColumn>
    <tableColumn id="6" xr3:uid="{28E9DB99-9D32-4914-9043-9C142A90ADB4}" name="Cultivé Qc" dataDxfId="328" dataCellStyle="Monétaire">
      <calculatedColumnFormula>VLOOKUP(B15,Tableau16[],4,FALSE)</calculatedColumnFormula>
    </tableColumn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36CF813-B205-4716-8086-6B55F00A1B61}" name="Tableau21210131925283134" displayName="Tableau21210131925283134" ref="B3:H5" totalsRowShown="0" headerRowDxfId="327" dataDxfId="325" headerRowBorderDxfId="326" tableBorderDxfId="324" totalsRowBorderDxfId="323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57C4F976-5797-4F9C-B0CC-592B521EF356}" name="Nom" dataDxfId="322" totalsRowDxfId="321"/>
    <tableColumn id="2" xr3:uid="{245E40FA-FE8E-430D-BE37-254EA236FA7B}" name="Marque" dataDxfId="320" totalsRowDxfId="319">
      <calculatedColumnFormula>VLOOKUP(B4,Tableau15[],8,FALSE)</calculatedColumnFormula>
    </tableColumn>
    <tableColumn id="3" xr3:uid="{D959F942-15D2-49D0-AA8B-1632DA0CD561}" name="Prix" dataDxfId="318" totalsRowDxfId="317">
      <calculatedColumnFormula>VLOOKUP(B4,Tableau15[],14,FALSE)</calculatedColumnFormula>
    </tableColumn>
    <tableColumn id="4" xr3:uid="{295641B8-7D5D-4A60-A9C5-E1C7CE6004EA}" name="THC" dataDxfId="316" totalsRowDxfId="315"/>
    <tableColumn id="5" xr3:uid="{04C60FAC-AC84-4BC9-B43C-A61E61651D76}" name="CBD" dataDxfId="314" totalsRowDxfId="313"/>
    <tableColumn id="7" xr3:uid="{15A933F1-79B4-41D5-8503-46348CC0A788}" name="Arômes" dataDxfId="312" totalsRowDxfId="311">
      <calculatedColumnFormula>VLOOKUP(B4,Tableau15[],10,FALSE)</calculatedColumnFormula>
    </tableColumn>
    <tableColumn id="6" xr3:uid="{DB78F178-BB46-4900-83D3-846B5930B413}" name="Cultivé Qc" dataDxfId="310" totalsRowDxfId="309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FD90DD6-EAB6-4630-9E8E-145DBCD1C242}" name="Tableau22311142026293235" displayName="Tableau22311142026293235" ref="B7:H10" totalsRowShown="0" headerRowDxfId="308" dataDxfId="306" headerRowBorderDxfId="307" tableBorderDxfId="305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8EE58810-34C6-46EE-9798-1A78AE387E9B}" name="Nom" dataDxfId="304"/>
    <tableColumn id="2" xr3:uid="{81A397B7-6CC3-4B6F-BE46-1BD36D7D1BFD}" name="Marque" dataDxfId="303" dataCellStyle="Monétaire">
      <calculatedColumnFormula>VLOOKUP(B8,Tableau14[],8,FALSE)</calculatedColumnFormula>
    </tableColumn>
    <tableColumn id="3" xr3:uid="{76DD914D-9FAE-4E48-A6F4-625A7A804A11}" name="Prix" dataDxfId="302" dataCellStyle="Monétaire">
      <calculatedColumnFormula>VLOOKUP(B8,Tableau14[],14,FALSE)</calculatedColumnFormula>
    </tableColumn>
    <tableColumn id="4" xr3:uid="{88AA1068-910F-481E-82FE-84CB41FB48A4}" name="THC" dataDxfId="301" dataCellStyle="Pourcentage"/>
    <tableColumn id="5" xr3:uid="{DFA922E4-1C8E-4C6E-AB76-D9BDAE0FA84A}" name="CBD" dataDxfId="300"/>
    <tableColumn id="7" xr3:uid="{7B5F71CB-E02E-4F46-88E9-75AC7DBB2792}" name="Arômes" dataDxfId="299">
      <calculatedColumnFormula>VLOOKUP(B8,Tableau14[],10,FALSE)</calculatedColumnFormula>
    </tableColumn>
    <tableColumn id="6" xr3:uid="{47D7DDA8-90A5-4EA1-9388-01FDD0C70348}" name="Cultivé Qc" dataDxfId="298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183E456-D280-4036-97D8-9145F90DEA24}" name="Tableau24912182127303336" displayName="Tableau24912182127303336" ref="B12:H27" totalsRowShown="0" headerRowDxfId="297" dataDxfId="295" headerRowBorderDxfId="296" tableBorderDxfId="294">
  <autoFilter ref="B12:H27" xr:uid="{295A315E-AEC3-4766-BC57-46A899F025DC}"/>
  <sortState xmlns:xlrd2="http://schemas.microsoft.com/office/spreadsheetml/2017/richdata2" ref="B13:H27">
    <sortCondition descending="1" ref="E13:E27"/>
    <sortCondition ref="F13:F27"/>
  </sortState>
  <tableColumns count="7">
    <tableColumn id="1" xr3:uid="{8D7D58FD-7373-4068-96FA-EF7B8DA4030B}" name="Nom (Dominance)" dataDxfId="293"/>
    <tableColumn id="2" xr3:uid="{58927BCD-FB59-499C-90D5-477E2E7C3A18}" name="Marque" dataDxfId="292">
      <calculatedColumnFormula>VLOOKUP(B13,Tableau16[],8,FALSE)</calculatedColumnFormula>
    </tableColumn>
    <tableColumn id="3" xr3:uid="{D222D45B-3393-4420-BB45-18B173213009}" name="Prix" dataDxfId="291" dataCellStyle="Monétaire">
      <calculatedColumnFormula>VLOOKUP(B13,Tableau16[],14,FALSE)</calculatedColumnFormula>
    </tableColumn>
    <tableColumn id="4" xr3:uid="{87EDEE45-8386-4822-A419-0886DF71CD76}" name="THC" dataDxfId="290" dataCellStyle="Monétaire"/>
    <tableColumn id="5" xr3:uid="{2A3CD210-270C-4886-99DC-710F1F688E82}" name="CBD" dataDxfId="289" dataCellStyle="Monétaire"/>
    <tableColumn id="7" xr3:uid="{7B5F9D45-883D-4856-A7DE-3B212F1ED98E}" name="Arômes" dataDxfId="288" dataCellStyle="Monétaire">
      <calculatedColumnFormula>VLOOKUP(B13,Tableau16[],10,FALSE)</calculatedColumnFormula>
    </tableColumn>
    <tableColumn id="6" xr3:uid="{2694F268-9A94-4D05-AA1E-21758B4E5A2F}" name="Cultivé Qc" dataDxfId="287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0C68E8-9809-439F-9042-2F2390C33B1B}" name="Tableau2121013192528313437" displayName="Tableau2121013192528313437" ref="B3:H5" totalsRowShown="0" headerRowDxfId="286" dataDxfId="284" headerRowBorderDxfId="285" tableBorderDxfId="283" totalsRowBorderDxfId="282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95FA687E-EE12-4862-ADD6-307223A438FE}" name="Nom" dataDxfId="281" totalsRowDxfId="280"/>
    <tableColumn id="2" xr3:uid="{93D14958-0660-47BB-89E2-B42595C9D201}" name="Marque" dataDxfId="279" totalsRowDxfId="278">
      <calculatedColumnFormula>VLOOKUP(B4,Tableau15[],8,FALSE)</calculatedColumnFormula>
    </tableColumn>
    <tableColumn id="3" xr3:uid="{6557C29C-A31A-41DB-A08C-3F679F8E97A8}" name="Prix" dataDxfId="277" totalsRowDxfId="276">
      <calculatedColumnFormula>VLOOKUP(B4,Tableau15[],14,FALSE)</calculatedColumnFormula>
    </tableColumn>
    <tableColumn id="4" xr3:uid="{73F021DB-A7A8-4CF8-BC43-D977E9B86B97}" name="THC" dataDxfId="275" totalsRowDxfId="274"/>
    <tableColumn id="5" xr3:uid="{7A03D4F5-2252-4CFE-8355-B6F325470585}" name="CBD" dataDxfId="273" totalsRowDxfId="272"/>
    <tableColumn id="7" xr3:uid="{AE22DF36-0554-4702-899D-444519A12914}" name="Arômes" dataDxfId="271" totalsRowDxfId="270">
      <calculatedColumnFormula>VLOOKUP(B4,Tableau15[],10,FALSE)</calculatedColumnFormula>
    </tableColumn>
    <tableColumn id="6" xr3:uid="{9B50B99A-E7C3-4E6F-824C-2A6E6E734179}" name="Cultivé Qc" dataDxfId="269" totalsRowDxfId="268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94B9131-F3AD-4599-8A45-C38A22F6102A}" name="Tableau2231114202629323538" displayName="Tableau2231114202629323538" ref="B7:H11" totalsRowShown="0" headerRowDxfId="267" dataDxfId="265" headerRowBorderDxfId="266" tableBorderDxfId="264">
  <autoFilter ref="B7:H11" xr:uid="{7FAA100D-C7F0-4ADE-B96A-2A6D0B94E194}"/>
  <sortState xmlns:xlrd2="http://schemas.microsoft.com/office/spreadsheetml/2017/richdata2" ref="B8:H11">
    <sortCondition descending="1" ref="E8:E11"/>
    <sortCondition ref="F8:F11"/>
  </sortState>
  <tableColumns count="7">
    <tableColumn id="1" xr3:uid="{80526A8E-A26A-41C4-93AE-4975B39617D4}" name="Nom" dataDxfId="263"/>
    <tableColumn id="2" xr3:uid="{0A7765D6-BA32-4FE9-A701-B0BA084D2D0B}" name="Marque" dataDxfId="262" dataCellStyle="Monétaire">
      <calculatedColumnFormula>VLOOKUP(B8,Tableau14[],8,FALSE)</calculatedColumnFormula>
    </tableColumn>
    <tableColumn id="3" xr3:uid="{8B0546FB-C317-4C1F-80FE-0286F97B9D2B}" name="Prix" dataDxfId="261" dataCellStyle="Monétaire">
      <calculatedColumnFormula>VLOOKUP(B8,Tableau14[],14,FALSE)</calculatedColumnFormula>
    </tableColumn>
    <tableColumn id="4" xr3:uid="{310D2B85-057D-4792-9C65-07FC6372879D}" name="THC" dataDxfId="260" dataCellStyle="Pourcentage"/>
    <tableColumn id="5" xr3:uid="{DD0714F9-9406-47DD-A53B-03AD1DCBFF4E}" name="CBD" dataDxfId="259"/>
    <tableColumn id="7" xr3:uid="{DC400C19-4B02-4C8D-A021-C0E076A50C74}" name="Arômes" dataDxfId="258">
      <calculatedColumnFormula>VLOOKUP(B8,Tableau14[],10,FALSE)</calculatedColumnFormula>
    </tableColumn>
    <tableColumn id="6" xr3:uid="{C88247AF-CEF1-46FC-B130-49DD89DA44D9}" name="Cultivé Qc" dataDxfId="257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21594BF-7D2E-4413-BE68-0F6C5E5EBE5B}" name="Tableau2491218212730333639" displayName="Tableau2491218212730333639" ref="B13:H35" totalsRowShown="0" headerRowDxfId="256" dataDxfId="254" headerRowBorderDxfId="255" tableBorderDxfId="253">
  <autoFilter ref="B13:H35" xr:uid="{295A315E-AEC3-4766-BC57-46A899F025DC}"/>
  <sortState xmlns:xlrd2="http://schemas.microsoft.com/office/spreadsheetml/2017/richdata2" ref="B14:H35">
    <sortCondition descending="1" ref="E14:E35"/>
    <sortCondition ref="F14:F35"/>
  </sortState>
  <tableColumns count="7">
    <tableColumn id="1" xr3:uid="{5CC1F1EC-02FD-48D9-B19F-13AA5A5E64CB}" name="Nom (Dominance)" dataDxfId="252"/>
    <tableColumn id="2" xr3:uid="{A0A722FF-A8EC-4260-A211-44D419B76A54}" name="Marque" dataDxfId="251">
      <calculatedColumnFormula>VLOOKUP(B14,Tableau16[],8,FALSE)</calculatedColumnFormula>
    </tableColumn>
    <tableColumn id="3" xr3:uid="{0597C853-0884-4221-9DDB-C46EFD4A3EF1}" name="Prix" dataDxfId="250" dataCellStyle="Monétaire">
      <calculatedColumnFormula>VLOOKUP(B14,Tableau16[],14,FALSE)</calculatedColumnFormula>
    </tableColumn>
    <tableColumn id="4" xr3:uid="{F63CEF58-1B0C-49D7-BFB5-F091DF4F428B}" name="THC" dataDxfId="249" dataCellStyle="Monétaire"/>
    <tableColumn id="5" xr3:uid="{8486264B-55D1-48FE-9C64-6D5488C7282A}" name="CBD" dataDxfId="248" dataCellStyle="Monétaire"/>
    <tableColumn id="7" xr3:uid="{E8EA4356-818F-4AFB-9E74-86EBBC39850F}" name="Arômes" dataDxfId="247" dataCellStyle="Monétaire">
      <calculatedColumnFormula>VLOOKUP(B14,Tableau16[],10,FALSE)</calculatedColumnFormula>
    </tableColumn>
    <tableColumn id="6" xr3:uid="{61A4B1D8-0567-4E77-84AD-45FE2D5B0C1F}" name="Cultivé Qc" dataDxfId="246" dataCellStyle="Monétaire">
      <calculatedColumnFormula>VLOOKUP(B14,Tableau16[],4,FALSE)</calculatedColumnFormula>
    </tableColumn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F2CD24-634C-4989-939B-A517216E1B16}" name="Tableau212101319252831343740" displayName="Tableau212101319252831343740" ref="B35:H37" totalsRowShown="0" headerRowDxfId="245" dataDxfId="243" headerRowBorderDxfId="244" tableBorderDxfId="242" totalsRowBorderDxfId="241">
  <autoFilter ref="B35:H37" xr:uid="{73ECDFFE-8E98-451F-9D21-4BAD5F644BBC}"/>
  <sortState xmlns:xlrd2="http://schemas.microsoft.com/office/spreadsheetml/2017/richdata2" ref="B36:H37">
    <sortCondition descending="1" ref="E36:E37"/>
    <sortCondition ref="F36:F37"/>
  </sortState>
  <tableColumns count="7">
    <tableColumn id="1" xr3:uid="{1D5281E2-5E7A-498A-A980-BB78F8FF20C0}" name="Nom" dataDxfId="240" totalsRowDxfId="239"/>
    <tableColumn id="2" xr3:uid="{B03A6747-A762-4F17-A986-D8E8872E6785}" name="Marque" dataDxfId="238" totalsRowDxfId="237">
      <calculatedColumnFormula>VLOOKUP(B36,Tableau15[],8,FALSE)</calculatedColumnFormula>
    </tableColumn>
    <tableColumn id="3" xr3:uid="{F03060FB-57EF-473F-8777-4E7DD713B408}" name="Prix" dataDxfId="236" totalsRowDxfId="235">
      <calculatedColumnFormula>VLOOKUP(B36,Tableau15[],14,FALSE)</calculatedColumnFormula>
    </tableColumn>
    <tableColumn id="4" xr3:uid="{9CF98C17-B800-4F05-AA0A-70AE9C2BEC65}" name="THC" dataDxfId="234" totalsRowDxfId="233"/>
    <tableColumn id="5" xr3:uid="{9FF74493-484B-4E42-B97F-600DBE499E78}" name="CBD" dataDxfId="232" totalsRowDxfId="231"/>
    <tableColumn id="7" xr3:uid="{D28A3BBC-C075-4551-9763-6B79471DA56F}" name="Arômes" dataDxfId="230" totalsRowDxfId="229">
      <calculatedColumnFormula>VLOOKUP(B36,Tableau15[],10,FALSE)</calculatedColumnFormula>
    </tableColumn>
    <tableColumn id="6" xr3:uid="{FABA6DFF-B45B-4F35-A656-EF21B9A27DE6}" name="Cultivé Qc" dataDxfId="228" totalsRowDxfId="227">
      <calculatedColumnFormula>VLOOKUP(B36,Tableau15[],4,FALSE)</calculatedColumnFormula>
    </tableColumn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F128E681-2AF1-4591-A933-093825776018}" name="Tableau223111420262932353841" displayName="Tableau223111420262932353841" ref="B39:H42" totalsRowShown="0" headerRowDxfId="226" dataDxfId="224" headerRowBorderDxfId="225" tableBorderDxfId="223">
  <autoFilter ref="B39:H42" xr:uid="{7FAA100D-C7F0-4ADE-B96A-2A6D0B94E194}"/>
  <sortState xmlns:xlrd2="http://schemas.microsoft.com/office/spreadsheetml/2017/richdata2" ref="B40:H42">
    <sortCondition descending="1" ref="E40:E42"/>
    <sortCondition ref="F40:F42"/>
  </sortState>
  <tableColumns count="7">
    <tableColumn id="1" xr3:uid="{378F05E4-9B01-4BD8-8CFA-9F2450F9EF8B}" name="Nom" dataDxfId="222"/>
    <tableColumn id="2" xr3:uid="{0D66CCD8-800D-49D8-9ED7-29618D801D82}" name="Marque" dataDxfId="221" dataCellStyle="Monétaire">
      <calculatedColumnFormula>VLOOKUP(B40,Tableau14[],8,FALSE)</calculatedColumnFormula>
    </tableColumn>
    <tableColumn id="3" xr3:uid="{A0E89932-8F1E-4D02-80C4-EC518577B6D0}" name="Prix" dataDxfId="220" dataCellStyle="Monétaire">
      <calculatedColumnFormula>VLOOKUP(B40,Tableau14[],14,FALSE)</calculatedColumnFormula>
    </tableColumn>
    <tableColumn id="4" xr3:uid="{0BAFB07B-4AAD-4275-8012-E9AC1AB4938F}" name="THC" dataDxfId="219" dataCellStyle="Pourcentage"/>
    <tableColumn id="5" xr3:uid="{E693AFF1-76F2-43D2-974D-41DCBF103D36}" name="CBD" dataDxfId="218"/>
    <tableColumn id="7" xr3:uid="{280F9FA9-EFFB-4949-B483-0F57FF1D52F4}" name="Arômes" dataDxfId="217">
      <calculatedColumnFormula>VLOOKUP(B40,Tableau14[],10,FALSE)</calculatedColumnFormula>
    </tableColumn>
    <tableColumn id="6" xr3:uid="{3B243250-352F-47D2-8DBF-EA40D6B284A1}" name="Cultivé Qc" dataDxfId="216" dataCellStyle="Monétaire">
      <calculatedColumnFormula>VLOOKUP(B40,Tableau14[],4,FALSE)</calculatedColumnFormula>
    </tableColumn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D918959-7F22-4CA8-843B-67C5285C933A}" name="Tableau249121821273033363942" displayName="Tableau249121821273033363942" ref="B44:H65" totalsRowShown="0" headerRowDxfId="215" dataDxfId="213" headerRowBorderDxfId="214" tableBorderDxfId="212">
  <autoFilter ref="B44:H65" xr:uid="{295A315E-AEC3-4766-BC57-46A899F025DC}"/>
  <sortState xmlns:xlrd2="http://schemas.microsoft.com/office/spreadsheetml/2017/richdata2" ref="B45:H65">
    <sortCondition descending="1" ref="E45:E65"/>
    <sortCondition ref="F45:F65"/>
  </sortState>
  <tableColumns count="7">
    <tableColumn id="1" xr3:uid="{10D960BE-5D4B-48AA-9E9F-1674D6F93C5C}" name="Nom (Dominance)" dataDxfId="211"/>
    <tableColumn id="2" xr3:uid="{8F6CC072-C70F-4241-B656-8D7A974D2787}" name="Marque" dataDxfId="210">
      <calculatedColumnFormula>VLOOKUP(B45,Tableau16[],8,FALSE)</calculatedColumnFormula>
    </tableColumn>
    <tableColumn id="3" xr3:uid="{74241C61-9102-4673-A69E-164FF1148C63}" name="Prix" dataDxfId="209" dataCellStyle="Monétaire">
      <calculatedColumnFormula>VLOOKUP(B45,Tableau16[],14,FALSE)</calculatedColumnFormula>
    </tableColumn>
    <tableColumn id="4" xr3:uid="{221B60A4-8E60-463D-BEAF-6FBA5D80CD9C}" name="THC" dataDxfId="208" dataCellStyle="Monétaire"/>
    <tableColumn id="5" xr3:uid="{8551B8C9-C169-40EC-B7A6-EA68F5115905}" name="CBD" dataDxfId="207" dataCellStyle="Monétaire"/>
    <tableColumn id="7" xr3:uid="{6AECDA28-5B71-4720-A0C6-154C52C2ED88}" name="Arômes" dataDxfId="206" dataCellStyle="Monétaire">
      <calculatedColumnFormula>VLOOKUP(B45,Tableau16[],10,FALSE)</calculatedColumnFormula>
    </tableColumn>
    <tableColumn id="6" xr3:uid="{B1A1DEB8-FD48-4BF0-B5FE-FA016ED06CEF}" name="Cultivé Qc" dataDxfId="205" dataCellStyle="Monétaire">
      <calculatedColumnFormula>VLOOKUP(B45,Tableau16[],4,FALSE)</calculatedColumnFormula>
    </tableColumn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365928B-A6DF-481F-A7E5-951937135D0F}" name="Tableau21210131925283134374043" displayName="Tableau21210131925283134374043" ref="B3:H5" totalsRowShown="0" headerRowDxfId="204" dataDxfId="202" headerRowBorderDxfId="203" tableBorderDxfId="201" totalsRowBorderDxfId="200">
  <autoFilter ref="B3:H5" xr:uid="{73ECDFFE-8E98-451F-9D21-4BAD5F644BBC}"/>
  <sortState xmlns:xlrd2="http://schemas.microsoft.com/office/spreadsheetml/2017/richdata2" ref="B4:H5">
    <sortCondition descending="1" ref="E4:E5"/>
    <sortCondition ref="F4:F5"/>
  </sortState>
  <tableColumns count="7">
    <tableColumn id="1" xr3:uid="{43DB98E5-1E19-47BA-A655-F268D96A02B6}" name="Nom" dataDxfId="199" totalsRowDxfId="198"/>
    <tableColumn id="2" xr3:uid="{C0DCD6CF-8D20-4529-9971-63FDF42F800C}" name="Marque" dataDxfId="197" totalsRowDxfId="196">
      <calculatedColumnFormula>VLOOKUP(B4,Tableau15[],8,FALSE)</calculatedColumnFormula>
    </tableColumn>
    <tableColumn id="3" xr3:uid="{9C4195DE-AB0C-4630-8EEA-F071B2E5737C}" name="Prix" dataDxfId="195" totalsRowDxfId="194">
      <calculatedColumnFormula>VLOOKUP(B4,Tableau15[],14,FALSE)</calculatedColumnFormula>
    </tableColumn>
    <tableColumn id="4" xr3:uid="{D57FB8B3-97DA-4E77-BED7-1D73485752D9}" name="THC" dataDxfId="193" totalsRowDxfId="192"/>
    <tableColumn id="5" xr3:uid="{702E12CC-9FD8-4999-8CCC-252D85246972}" name="CBD" dataDxfId="191" totalsRowDxfId="190"/>
    <tableColumn id="7" xr3:uid="{179E897D-0595-4702-B86C-C6BA7F50B95C}" name="Arômes" dataDxfId="189" totalsRowDxfId="188">
      <calculatedColumnFormula>VLOOKUP(B4,Tableau15[],10,FALSE)</calculatedColumnFormula>
    </tableColumn>
    <tableColumn id="6" xr3:uid="{1AB4600B-5E53-41D4-B85C-FBC4EACE2A2A}" name="Cultivé Qc" dataDxfId="187" totalsRowDxfId="186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41997C85-50F1-43CF-A04B-C4AD913D0F1E}" name="Tableau22311142026293235384144" displayName="Tableau22311142026293235384144" ref="B7:H10" totalsRowShown="0" headerRowDxfId="185" dataDxfId="183" headerRowBorderDxfId="184" tableBorderDxfId="182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18A3C667-47F1-4A2E-9DC5-E764E07702CF}" name="Nom" dataDxfId="181"/>
    <tableColumn id="2" xr3:uid="{5E01BC08-725E-453B-983D-8567727D1CE5}" name="Marque" dataDxfId="180" dataCellStyle="Monétaire">
      <calculatedColumnFormula>VLOOKUP(B8,Tableau14[],8,FALSE)</calculatedColumnFormula>
    </tableColumn>
    <tableColumn id="3" xr3:uid="{4C0A62BF-A4A6-46A3-982F-0CCF7BFC7014}" name="Prix" dataDxfId="179" dataCellStyle="Monétaire">
      <calculatedColumnFormula>VLOOKUP(B8,Tableau14[],14,FALSE)</calculatedColumnFormula>
    </tableColumn>
    <tableColumn id="4" xr3:uid="{870D1F17-6F80-4A90-9E67-4A3B4F516CCA}" name="THC" dataDxfId="178" dataCellStyle="Pourcentage"/>
    <tableColumn id="5" xr3:uid="{9CAD29B4-CC53-4DEF-99A2-B8C0CE31E0D8}" name="CBD" dataDxfId="177"/>
    <tableColumn id="7" xr3:uid="{404A8D78-2FEE-41F3-BABA-AC412107AF34}" name="Arômes" dataDxfId="176">
      <calculatedColumnFormula>VLOOKUP(B8,Tableau14[],10,FALSE)</calculatedColumnFormula>
    </tableColumn>
    <tableColumn id="6" xr3:uid="{8796594A-0477-41FB-A869-B2E7CA4C4CE3}" name="Cultivé Qc" dataDxfId="175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495069C-A630-452D-9BDD-0E71B69090B0}" name="Tableau24912182127303336394245" displayName="Tableau24912182127303336394245" ref="B12:H26" totalsRowShown="0" headerRowDxfId="174" dataDxfId="172" headerRowBorderDxfId="173" tableBorderDxfId="171">
  <autoFilter ref="B12:H26" xr:uid="{295A315E-AEC3-4766-BC57-46A899F025DC}"/>
  <sortState xmlns:xlrd2="http://schemas.microsoft.com/office/spreadsheetml/2017/richdata2" ref="B13:H26">
    <sortCondition descending="1" ref="E13:E26"/>
    <sortCondition ref="F13:F26"/>
  </sortState>
  <tableColumns count="7">
    <tableColumn id="1" xr3:uid="{2AF9312D-E19B-4C8C-B6F4-1FA4E36970AA}" name="Nom (Dominance)" dataDxfId="170"/>
    <tableColumn id="2" xr3:uid="{2091DDE0-111C-403C-9DF7-4FD85D562566}" name="Marque" dataDxfId="169">
      <calculatedColumnFormula>VLOOKUP(B13,Tableau16[],8,FALSE)</calculatedColumnFormula>
    </tableColumn>
    <tableColumn id="3" xr3:uid="{70557946-E983-4345-92B3-98205971DE85}" name="Prix" dataDxfId="168" dataCellStyle="Monétaire">
      <calculatedColumnFormula>VLOOKUP(B13,Tableau16[],14,FALSE)</calculatedColumnFormula>
    </tableColumn>
    <tableColumn id="4" xr3:uid="{22A67638-A2E5-45DF-A5DA-C54B8E031484}" name="THC" dataDxfId="167" dataCellStyle="Monétaire"/>
    <tableColumn id="5" xr3:uid="{6E8DB6D8-9541-489D-9E73-087862A67B8F}" name="CBD" dataDxfId="166" dataCellStyle="Monétaire"/>
    <tableColumn id="7" xr3:uid="{DF34194B-F29E-469A-A4DA-E7D06859A21C}" name="Arômes" dataDxfId="165" dataCellStyle="Monétaire">
      <calculatedColumnFormula>VLOOKUP(B13,Tableau16[],10,FALSE)</calculatedColumnFormula>
    </tableColumn>
    <tableColumn id="6" xr3:uid="{A749E8B3-1694-4184-AED5-5BFD1AF8E1C2}" name="Cultivé Qc" dataDxfId="164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039F892-6753-4185-BD79-5ACCC9F5FC1F}" name="Tableau2121013192528313437404355" displayName="Tableau2121013192528313437404355" ref="B3:H5" totalsRowShown="0" headerRowDxfId="163" dataDxfId="161" headerRowBorderDxfId="162" tableBorderDxfId="160" totalsRowBorderDxfId="159">
  <autoFilter ref="B3:H5" xr:uid="{1039F892-6753-4185-BD79-5ACCC9F5FC1F}"/>
  <sortState xmlns:xlrd2="http://schemas.microsoft.com/office/spreadsheetml/2017/richdata2" ref="B4:H5">
    <sortCondition descending="1" ref="E4:E5"/>
    <sortCondition ref="F4:F5"/>
  </sortState>
  <tableColumns count="7">
    <tableColumn id="1" xr3:uid="{D90E6B87-3742-4919-8994-6A4DC79D7561}" name="Nom" dataDxfId="158" totalsRowDxfId="157"/>
    <tableColumn id="2" xr3:uid="{96F83FCD-9D5C-4B11-8E79-EFBC7A56E52D}" name="Marque" dataDxfId="156" totalsRowDxfId="155">
      <calculatedColumnFormula>VLOOKUP(B4,Tableau15[],8,FALSE)</calculatedColumnFormula>
    </tableColumn>
    <tableColumn id="3" xr3:uid="{01F9E6DF-28AA-40D4-81B9-5D3C8C247227}" name="Prix" dataDxfId="154" totalsRowDxfId="153">
      <calculatedColumnFormula>VLOOKUP(B4,Tableau15[],14,FALSE)</calculatedColumnFormula>
    </tableColumn>
    <tableColumn id="4" xr3:uid="{A802FCC3-7DAB-4963-9907-9184A99B7B84}" name="THC" dataDxfId="152" totalsRowDxfId="151"/>
    <tableColumn id="5" xr3:uid="{F570332E-62BD-4BB6-8D55-51CB2B4991A5}" name="CBD" dataDxfId="150" totalsRowDxfId="149"/>
    <tableColumn id="7" xr3:uid="{6AA7377A-3A75-4EC8-91C9-4F4D709054A1}" name="Arômes" dataDxfId="148" totalsRowDxfId="147">
      <calculatedColumnFormula>VLOOKUP(B4,Tableau15[],10,FALSE)</calculatedColumnFormula>
    </tableColumn>
    <tableColumn id="6" xr3:uid="{75BFDB2B-D4FE-42F7-9360-F29829671EFB}" name="Cultivé Qc" dataDxfId="146" totalsRowDxfId="145">
      <calculatedColumnFormula>VLOOKUP(B4,Tableau15[],4,FALSE)</calculatedColumnFormula>
    </tableColumn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AC5721D-F277-4287-AAE0-2A345234D16A}" name="Tableau2231114202629323538414456" displayName="Tableau2231114202629323538414456" ref="B7:H10" totalsRowShown="0" headerRowDxfId="144" dataDxfId="142" headerRowBorderDxfId="143" tableBorderDxfId="141">
  <autoFilter ref="B7:H10" xr:uid="{7FAA100D-C7F0-4ADE-B96A-2A6D0B94E194}"/>
  <sortState xmlns:xlrd2="http://schemas.microsoft.com/office/spreadsheetml/2017/richdata2" ref="B8:H10">
    <sortCondition descending="1" ref="E8:E10"/>
    <sortCondition ref="F8:F10"/>
  </sortState>
  <tableColumns count="7">
    <tableColumn id="1" xr3:uid="{0F54A123-3795-435C-BE73-E6938FF52E45}" name="Nom" dataDxfId="140"/>
    <tableColumn id="2" xr3:uid="{577B83C6-6DC4-48F5-B4C7-A5BD51FA7D96}" name="Marque" dataDxfId="139" dataCellStyle="Monétaire">
      <calculatedColumnFormula>VLOOKUP(B8,Tableau14[],8,FALSE)</calculatedColumnFormula>
    </tableColumn>
    <tableColumn id="3" xr3:uid="{8FDB0197-7135-4771-BEE4-BA561D9C088B}" name="Prix" dataDxfId="138" dataCellStyle="Monétaire">
      <calculatedColumnFormula>VLOOKUP(B8,Tableau14[],14,FALSE)</calculatedColumnFormula>
    </tableColumn>
    <tableColumn id="4" xr3:uid="{FEA12267-27B3-4CD0-AD6E-D3BF3BDD216A}" name="THC" dataDxfId="137" dataCellStyle="Pourcentage"/>
    <tableColumn id="5" xr3:uid="{33C3DDE5-13BE-4D89-8DB3-565B75B99231}" name="CBD" dataDxfId="136"/>
    <tableColumn id="7" xr3:uid="{AF1C6FC6-0A32-421D-8859-B4BFD323373B}" name="Arômes" dataDxfId="135">
      <calculatedColumnFormula>VLOOKUP(B8,Tableau14[],10,FALSE)</calculatedColumnFormula>
    </tableColumn>
    <tableColumn id="6" xr3:uid="{DCDBCA72-04E6-4C06-A1F0-D5A235C23B54}" name="Cultivé Qc" dataDxfId="134" dataCellStyle="Monétaire">
      <calculatedColumnFormula>VLOOKUP(B8,Tableau14[],4,FALSE)</calculatedColumnFormula>
    </tableColumn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4549C6E8-8248-4E63-8325-D53F2CDAB360}" name="Tableau2491218212730333639424557" displayName="Tableau2491218212730333639424557" ref="B12:H26" totalsRowShown="0" headerRowDxfId="133" dataDxfId="131" headerRowBorderDxfId="132" tableBorderDxfId="130">
  <autoFilter ref="B12:H26" xr:uid="{295A315E-AEC3-4766-BC57-46A899F025DC}"/>
  <sortState xmlns:xlrd2="http://schemas.microsoft.com/office/spreadsheetml/2017/richdata2" ref="B13:H26">
    <sortCondition descending="1" ref="E13:E26"/>
    <sortCondition ref="F13:F26"/>
  </sortState>
  <tableColumns count="7">
    <tableColumn id="1" xr3:uid="{B913A557-2D6C-49A4-BD1A-57969C41A71E}" name="Nom (Dominance)" dataDxfId="129"/>
    <tableColumn id="2" xr3:uid="{5886CE33-3E06-4D10-83E9-2E45B287068A}" name="Marque" dataDxfId="128">
      <calculatedColumnFormula>VLOOKUP(B13,Tableau16[],8,FALSE)</calculatedColumnFormula>
    </tableColumn>
    <tableColumn id="3" xr3:uid="{FEF24810-70A1-4A55-8E3A-8C22D95FAA05}" name="Prix" dataDxfId="127" dataCellStyle="Monétaire">
      <calculatedColumnFormula>VLOOKUP(B13,Tableau16[],14,FALSE)</calculatedColumnFormula>
    </tableColumn>
    <tableColumn id="4" xr3:uid="{D6207E4D-04EB-40D2-BCC0-BA042B22C693}" name="THC" dataDxfId="126" dataCellStyle="Monétaire"/>
    <tableColumn id="5" xr3:uid="{94F8C4AB-95E2-4FF7-8AF3-9E2998B0C020}" name="CBD" dataDxfId="125" dataCellStyle="Monétaire"/>
    <tableColumn id="7" xr3:uid="{EA509891-9915-427C-AD93-47EDEDCD8A25}" name="Arômes" dataDxfId="124" dataCellStyle="Monétaire">
      <calculatedColumnFormula>VLOOKUP(B13,Tableau16[],10,FALSE)</calculatedColumnFormula>
    </tableColumn>
    <tableColumn id="6" xr3:uid="{A4F4D9B4-1B3D-4273-81EF-63695042BF89}" name="Cultivé Qc" dataDxfId="123" dataCellStyle="Monétaire">
      <calculatedColumnFormula>VLOOKUP(B13,Tableau16[],4,FALSE)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8F60337-E953-4812-A0DE-E4BA2D25FC3C}" name="Tableau14" displayName="Tableau14" ref="A3:N12" totalsRowShown="0" headerRowDxfId="122" headerRowCellStyle="Normal 2" dataCellStyle="Normal 2">
  <autoFilter ref="A3:N12" xr:uid="{420F5BE2-7212-48B5-8C16-74302C0914D3}"/>
  <sortState xmlns:xlrd2="http://schemas.microsoft.com/office/spreadsheetml/2017/richdata2" ref="A4:N12">
    <sortCondition ref="A3:A12"/>
  </sortState>
  <tableColumns count="14">
    <tableColumn id="11" xr3:uid="{96BA8529-7561-4EB0-A43E-AE5E50778E1E}" name="Nom - Génétique" dataDxfId="121" dataCellStyle="Normal 2">
      <calculatedColumnFormula>IF(Tableau14[[#This Row],[Nom produit]]=Tableau14[[#This Row],[Variété]],Tableau14[[#This Row],[Nom produit]],_xlfn.CONCAT(Tableau14[[#This Row],[Nom produit]]," - ", Tableau14[[#This Row],[Variété]]))</calculatedColumnFormula>
    </tableColumn>
    <tableColumn id="1" xr3:uid="{AD21B216-DCA9-435E-9F2D-CFE779D4857D}" name="Nom produit" dataCellStyle="Normal 2"/>
    <tableColumn id="2" xr3:uid="{F7B35FB4-20F6-4BE2-8668-656C8E1DF9AD}" name="Code-barres" dataCellStyle="Normal 2"/>
    <tableColumn id="3" xr3:uid="{103C8AB7-03EF-4CA6-A551-9D50EDE2B96A}" name="Cultivé au Québec" dataCellStyle="Normal 2"/>
    <tableColumn id="4" xr3:uid="{207480E9-66FE-43D9-B61E-0BF57E601BF8}" name="Espèce" dataCellStyle="Normal 2"/>
    <tableColumn id="5" xr3:uid="{1C45BDFD-0AA9-400A-9627-CB038AEB7F49}" name="Dominance Hybride (ds)" dataCellStyle="Normal 2"/>
    <tableColumn id="6" xr3:uid="{D412EDD7-4A22-4304-9811-9A108E4D0F0A}" name="Variété" dataCellStyle="Normal 2"/>
    <tableColumn id="7" xr3:uid="{F58C00C0-8E4B-48C0-8220-981936700985}" name="Marque" dataCellStyle="Normal 2"/>
    <tableColumn id="8" xr3:uid="{48F51B0B-33F5-4784-B409-5783DE7F72F8}" name="Terpène dominant" dataCellStyle="Normal 2"/>
    <tableColumn id="9" xr3:uid="{2121F102-DC23-4EEC-8D0B-1B52EA7DCF20}" name="Arômes" dataCellStyle="Normal 2"/>
    <tableColumn id="10" xr3:uid="{C776AAD5-B9D5-460E-9BF3-17DD55604758}" name="Arôme1" dataDxfId="120" dataCellStyle="Normal 2"/>
    <tableColumn id="12" xr3:uid="{FC1DAC1F-3227-4312-961D-77F22E95AA90}" name="Arôme 2" dataCellStyle="Normal 2"/>
    <tableColumn id="13" xr3:uid="{7DB8657F-C03B-483F-B988-C8E3B3DF717C}" name="Format" dataCellStyle="Normal 2"/>
    <tableColumn id="14" xr3:uid="{21ECB044-E156-423B-8F00-B601E7912A26}" name="Prix" dataCellStyle="Normal 2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345949-EE4E-4A9B-A8D7-C098B6E88304}" name="Tableau15" displayName="Tableau15" ref="A15:N17" totalsRowShown="0" headerRowDxfId="119" headerRowCellStyle="Normal 2" dataCellStyle="Normal 2">
  <autoFilter ref="A15:N17" xr:uid="{03BC5982-7D4C-4147-BBDA-1EE439A98CFA}"/>
  <sortState xmlns:xlrd2="http://schemas.microsoft.com/office/spreadsheetml/2017/richdata2" ref="A16:N17">
    <sortCondition ref="A15:A17"/>
  </sortState>
  <tableColumns count="14">
    <tableColumn id="11" xr3:uid="{143FAB23-5A4C-480F-AE2B-32BADA6868A1}" name="Nom - Génétique" dataDxfId="118" dataCellStyle="Normal 2">
      <calculatedColumnFormula>IF(Tableau15[[#This Row],[Nom produit]]=Tableau15[[#This Row],[Variété]],Tableau15[[#This Row],[Nom produit]],_xlfn.CONCAT(Tableau15[[#This Row],[Nom produit]]," - ", Tableau15[[#This Row],[Variété]]))</calculatedColumnFormula>
    </tableColumn>
    <tableColumn id="1" xr3:uid="{5D45A9D4-9494-442D-86E3-F9574D4C3E8C}" name="Nom produit" dataCellStyle="Normal 2"/>
    <tableColumn id="2" xr3:uid="{9101A407-F5BD-46E6-987A-7CC720B6D51B}" name="Code-barres" dataCellStyle="Normal 2"/>
    <tableColumn id="3" xr3:uid="{18E80BAE-0D32-4832-8BE5-E56331FD6219}" name="Cultivé au Québec" dataCellStyle="Normal 2"/>
    <tableColumn id="4" xr3:uid="{684EA95D-5629-45EE-9DD8-B445713F1282}" name="Espèce" dataCellStyle="Normal 2"/>
    <tableColumn id="5" xr3:uid="{88654BB9-5C98-4EBC-9E96-B6A4BB216799}" name="Dominance Hybride (ds)" dataCellStyle="Normal 2"/>
    <tableColumn id="6" xr3:uid="{820B440A-549C-4054-8D7F-79F1E970D9C9}" name="Variété" dataCellStyle="Normal 2"/>
    <tableColumn id="7" xr3:uid="{CDCA1E60-2101-48A8-BF5B-CCD23B329DE8}" name="Marque" dataCellStyle="Normal 2"/>
    <tableColumn id="8" xr3:uid="{13CF302D-908B-4368-936F-9B5A0544353C}" name="Terpène dominant" dataCellStyle="Normal 2"/>
    <tableColumn id="9" xr3:uid="{49DD857A-A38E-4A5A-B1CD-AD9FDC7C6A3A}" name="Arômes" dataCellStyle="Normal 2"/>
    <tableColumn id="10" xr3:uid="{A98E91C0-D5F4-49FB-88B2-E5DF65D475E3}" name="Arôme1" dataDxfId="117" dataCellStyle="Normal 2"/>
    <tableColumn id="12" xr3:uid="{7F5C65F9-5430-4D2B-9517-0478E15F0822}" name="Arôme 2" dataCellStyle="Normal 2"/>
    <tableColumn id="13" xr3:uid="{D42EAC2B-9658-4857-ACB8-3ACF8ACC504C}" name="Format" dataCellStyle="Normal 2"/>
    <tableColumn id="14" xr3:uid="{40BBE5E6-4DE7-45EE-A8B3-0273DBDE0FC7}" name="Prix" dataCellStyle="Normal 2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77189DC-867C-42AE-BB96-0BE7858ED292}" name="Tableau16" displayName="Tableau16" ref="A20:N69" totalsRowShown="0" headerRowDxfId="116" dataDxfId="115" headerRowCellStyle="Normal 2" dataCellStyle="Normal 2">
  <autoFilter ref="A20:N69" xr:uid="{BAC35902-1FB2-4A3A-949C-180783A5DF21}"/>
  <sortState xmlns:xlrd2="http://schemas.microsoft.com/office/spreadsheetml/2017/richdata2" ref="A21:N69">
    <sortCondition ref="A20:A69"/>
  </sortState>
  <tableColumns count="14">
    <tableColumn id="11" xr3:uid="{D5163387-4A6B-4139-9EFF-B454E9C59996}" name="Nom - Génétique" dataDxfId="114" dataCellStyle="Normal 2">
      <calculatedColumnFormula>IF(Tableau16[[#This Row],[Nom produit]]=Tableau16[[#This Row],[Variété]],Tableau16[[#This Row],[Nom produit]],_xlfn.CONCAT(Tableau16[[#This Row],[Nom produit]]," - ", Tableau16[[#This Row],[Variété]]))</calculatedColumnFormula>
    </tableColumn>
    <tableColumn id="1" xr3:uid="{2F127151-682C-426E-B44D-EC4FCC87FE26}" name="Nom produit" dataDxfId="113" dataCellStyle="Normal 2"/>
    <tableColumn id="2" xr3:uid="{81C8EC7D-BD98-4EFE-BBC5-51CF47822646}" name="Code-barres" dataDxfId="112" dataCellStyle="Normal 2"/>
    <tableColumn id="3" xr3:uid="{20D859BE-633B-4499-B51E-8946C81B8865}" name="Cultivé au Québec" dataDxfId="111" dataCellStyle="Normal 2"/>
    <tableColumn id="4" xr3:uid="{20D2E90F-F4E5-4CCE-9FCB-98655747279D}" name="Espèce" dataDxfId="110" dataCellStyle="Normal 2"/>
    <tableColumn id="5" xr3:uid="{B4DE00B1-D9B1-4BFF-95AD-F78730C5CAC6}" name="Dominance Hybride (ds)" dataDxfId="109" dataCellStyle="Normal 2"/>
    <tableColumn id="6" xr3:uid="{FC00E53D-24F5-4E05-9A36-732BEBC030ED}" name="Variété" dataDxfId="108" dataCellStyle="Normal 2"/>
    <tableColumn id="7" xr3:uid="{B23F537A-0756-4CD3-AF4D-3841C4B3FB8D}" name="Marque" dataDxfId="107" dataCellStyle="Normal 2"/>
    <tableColumn id="8" xr3:uid="{A01CE1F8-BA39-42F6-B825-42374F27F258}" name="Terpène dominant" dataDxfId="106" dataCellStyle="Normal 2"/>
    <tableColumn id="9" xr3:uid="{27C894D7-72B5-4E73-86F6-099A401315F6}" name="Arômes" dataDxfId="105" dataCellStyle="Normal 2"/>
    <tableColumn id="10" xr3:uid="{E6A1BB73-2B75-433B-BC43-56C909B88499}" name="Arôme1" dataDxfId="104" dataCellStyle="Normal 2"/>
    <tableColumn id="12" xr3:uid="{AB596F81-92DA-41CC-8FD6-7B6C3AA9941E}" name="Arôme 2" dataDxfId="103" dataCellStyle="Normal 2"/>
    <tableColumn id="13" xr3:uid="{9D241555-46C2-4656-B868-8432B5968B2C}" name="Format" dataDxfId="102" dataCellStyle="Normal 2"/>
    <tableColumn id="14" xr3:uid="{58AA54E9-389F-46EB-A0D6-C77616B329B3}" name="Prix" dataDxfId="101" dataCellStyle="Normal 2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46D629-ADAA-42B6-BC1F-BA172FE4A4C1}" name="Huiles" displayName="Huiles" ref="A5:L40" totalsRowShown="0" headerRowDxfId="100" dataDxfId="98" headerRowBorderDxfId="99" tableBorderDxfId="97">
  <autoFilter ref="A5:L40" xr:uid="{636EC8D5-20BC-4648-BE12-7D7B15063DB3}"/>
  <sortState xmlns:xlrd2="http://schemas.microsoft.com/office/spreadsheetml/2017/richdata2" ref="A6:K40">
    <sortCondition ref="A5:A40"/>
  </sortState>
  <tableColumns count="12">
    <tableColumn id="1" xr3:uid="{328A5E81-A8D2-4223-B2A6-2DCD094F9C44}" name="Code-barres" dataDxfId="96"/>
    <tableColumn id="3" xr3:uid="{089D1BBA-ECDB-492E-8AAA-1F553010E394}" name="Espèce" dataDxfId="95"/>
    <tableColumn id="4" xr3:uid="{B58CF016-A2D1-4B3D-BF9B-0CA6E4484C8B}" name="Nom produit" dataDxfId="94"/>
    <tableColumn id="5" xr3:uid="{51920836-C612-40B0-A7B3-CA7808429B00}" name="Variété" dataDxfId="93"/>
    <tableColumn id="6" xr3:uid="{69EAC795-FB4C-4652-A2A1-C19BDE16C350}" name="Marque" dataDxfId="92"/>
    <tableColumn id="7" xr3:uid="{2D46D8E0-90EC-4716-A7D5-56905A11EE21}" name="Terpène dominant" dataDxfId="91"/>
    <tableColumn id="8" xr3:uid="{0C5CB250-4B45-4155-8AA0-FA6998009FE3}" name="Arômes" dataDxfId="90"/>
    <tableColumn id="9" xr3:uid="{5211DCA6-C863-4B71-8CD0-B6AC86DC1E96}" name="Arômes2" dataDxfId="89"/>
    <tableColumn id="10" xr3:uid="{6FBA64B8-B474-446D-93D8-061807783D60}" name="Format" dataDxfId="88"/>
    <tableColumn id="11" xr3:uid="{656A1C9D-3FE4-4EEA-8994-FB48DEC46F7F}" name="Cathégorie" dataDxfId="87"/>
    <tableColumn id="12" xr3:uid="{09D34CFD-D0EC-4E80-9E9A-F15D802730EE}" name="Prix" dataDxfId="86"/>
    <tableColumn id="2" xr3:uid="{5736EF34-C1C1-4E4E-B75F-818E26D96607}" name="Poids" dataDxfId="85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35961E-7729-4500-BB01-78DAD180E697}" name="Atomiseur" displayName="Atomiseur" ref="A45:K61" totalsRowShown="0" headerRowDxfId="84" dataDxfId="82" headerRowBorderDxfId="83" tableBorderDxfId="81">
  <autoFilter ref="A45:K61" xr:uid="{95FE1E35-EEFB-484E-ABC6-9D727D96073A}"/>
  <sortState xmlns:xlrd2="http://schemas.microsoft.com/office/spreadsheetml/2017/richdata2" ref="A46:K61">
    <sortCondition ref="A45:A61"/>
  </sortState>
  <tableColumns count="11">
    <tableColumn id="1" xr3:uid="{27CAA52F-A345-4451-B852-6901038C20FE}" name="Code-barres" dataDxfId="80"/>
    <tableColumn id="3" xr3:uid="{BE2F69AF-5012-48C5-A9CD-8B9CD9C07E03}" name="Espèce" dataDxfId="79"/>
    <tableColumn id="4" xr3:uid="{F0B608B3-FD62-4646-97AC-B119CD2C8D6F}" name="Nom produit" dataDxfId="78"/>
    <tableColumn id="5" xr3:uid="{5C8BADB9-1B15-4513-8607-497C392DED2E}" name="Variété" dataDxfId="77"/>
    <tableColumn id="6" xr3:uid="{626D9A1E-0330-4A5A-BF46-D3EC78B9D7A9}" name="Marque" dataDxfId="76"/>
    <tableColumn id="7" xr3:uid="{D22A3481-D160-4C1A-BDC9-C9341F8F489C}" name="Terpène dominant" dataDxfId="75"/>
    <tableColumn id="8" xr3:uid="{9482656A-C034-4A03-80CA-01CA21699859}" name="Arômes" dataDxfId="74"/>
    <tableColumn id="9" xr3:uid="{B2D3D223-A15B-4B68-8386-B81F8D8881A6}" name="Arômes2" dataDxfId="73"/>
    <tableColumn id="10" xr3:uid="{00436FBD-9781-4517-A994-6DA895838DAD}" name="Format" dataDxfId="72"/>
    <tableColumn id="11" xr3:uid="{192EFCC3-7C20-4C6F-B26C-3CEF1D3F84F5}" name="Cathégorie" dataDxfId="71"/>
    <tableColumn id="12" xr3:uid="{BAD8CD7F-8BBE-4B44-9D73-E04AE44ADB42}" name="Prix" dataDxfId="70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EEC232-1E7F-4505-8400-7C49937EBF4A}" name="Gélules" displayName="Gélules" ref="A66:K95" totalsRowShown="0" headerRowDxfId="69" dataDxfId="67" headerRowBorderDxfId="68" tableBorderDxfId="66">
  <autoFilter ref="A66:K95" xr:uid="{6C602173-3C3A-4863-B365-4AAFFAE401F7}"/>
  <sortState xmlns:xlrd2="http://schemas.microsoft.com/office/spreadsheetml/2017/richdata2" ref="A67:K95">
    <sortCondition ref="A66:A95"/>
  </sortState>
  <tableColumns count="11">
    <tableColumn id="1" xr3:uid="{CB14F7D6-A40A-40B6-9DDB-41A43B2BA457}" name="Code-barres" dataDxfId="65"/>
    <tableColumn id="3" xr3:uid="{1B8803CE-35EB-416A-B8AB-9B20109214A5}" name="Espèce" dataDxfId="64"/>
    <tableColumn id="4" xr3:uid="{9C50A988-19E5-4501-83A1-87A5F66DDF6A}" name="Nom produit" dataDxfId="63"/>
    <tableColumn id="5" xr3:uid="{147F4B00-B39A-443F-8E62-6842026A436A}" name="Variété" dataDxfId="62"/>
    <tableColumn id="6" xr3:uid="{AD0D0B04-3E45-4A25-B67D-BB5D1D89AC67}" name="Marque" dataDxfId="61"/>
    <tableColumn id="7" xr3:uid="{C439F233-60C1-4326-9D14-89F853F76DB2}" name="Terpène dominant" dataDxfId="60"/>
    <tableColumn id="8" xr3:uid="{C648B0ED-7154-4988-B6E8-F475EF56445E}" name="Arômes" dataDxfId="59"/>
    <tableColumn id="9" xr3:uid="{2BFD539E-FA70-4DF0-9037-2DE94122B24C}" name="Arômes2" dataDxfId="58"/>
    <tableColumn id="10" xr3:uid="{6879A0CA-7839-441F-AD1F-D38405FC9B65}" name="Format" dataDxfId="57"/>
    <tableColumn id="11" xr3:uid="{C0C3D47B-D2EA-4A3F-81F6-78AB33E6F967}" name="Cathégorie" dataDxfId="56"/>
    <tableColumn id="12" xr3:uid="{A8C1585C-7451-4B1C-8C49-295577C9FE1F}" name="Prix" dataDxfId="55"/>
  </tableColumns>
  <tableStyleInfo name="TableStyleLight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55FD40-6498-466C-8CD7-C2D0A0D82776}" name="Tableau9" displayName="Tableau9" ref="A100:L139" totalsRowShown="0" headerRowDxfId="54" dataDxfId="52" headerRowBorderDxfId="53" tableBorderDxfId="51">
  <autoFilter ref="A100:L139" xr:uid="{B20B8E74-8DC6-4ACC-9AC6-1661DC172829}"/>
  <sortState xmlns:xlrd2="http://schemas.microsoft.com/office/spreadsheetml/2017/richdata2" ref="A101:L139">
    <sortCondition ref="A100:A139"/>
  </sortState>
  <tableColumns count="12">
    <tableColumn id="1" xr3:uid="{9EBD1221-1DBC-4472-A746-621EC87F0763}" name="Code-barres" dataDxfId="50"/>
    <tableColumn id="2" xr3:uid="{9A367594-2A35-4A51-AD47-38D9FDA598D8}" name="Cultivé au Québec" dataDxfId="49"/>
    <tableColumn id="3" xr3:uid="{70338C9B-8771-49A2-9AAD-9ED69F4C06F9}" name="Espèce" dataDxfId="48"/>
    <tableColumn id="4" xr3:uid="{043855A4-E34F-440F-A92E-C8046A42DA68}" name="Nom produit" dataDxfId="47"/>
    <tableColumn id="5" xr3:uid="{460A6F8C-C230-4CCA-B489-678D80089069}" name="Variété" dataDxfId="46"/>
    <tableColumn id="6" xr3:uid="{5D48052D-49F0-4D50-8D6A-E68884B5EB26}" name="Marque" dataDxfId="45"/>
    <tableColumn id="7" xr3:uid="{9B354E51-741B-4D15-868A-2E358C7FDB14}" name="Terpène dominant" dataDxfId="44"/>
    <tableColumn id="8" xr3:uid="{4DF09E50-B766-4CAB-9A8D-19E5A50C9F7E}" name="Arômes" dataDxfId="43"/>
    <tableColumn id="9" xr3:uid="{9CDF805E-54F1-427C-8146-80ED7B3DE260}" name="Arômes2" dataDxfId="42"/>
    <tableColumn id="10" xr3:uid="{54D1D179-7AB8-4F0C-B68C-599BE1970C08}" name="Format" dataDxfId="41"/>
    <tableColumn id="11" xr3:uid="{55014B19-C1FE-4F75-9801-C0FC30756155}" name="Cathégorie" dataDxfId="40"/>
    <tableColumn id="12" xr3:uid="{F6DC0886-09FD-4176-B46C-ACA0D5F23950}" name="Prix" dataDxfId="39"/>
  </tableColumns>
  <tableStyleInfo name="TableStyleLight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560B38-F27B-4465-9694-C955C8303CA5}" name="Infusions" displayName="Infusions" ref="A144:L156" totalsRowShown="0" headerRowDxfId="38" dataDxfId="36" headerRowBorderDxfId="37" tableBorderDxfId="35">
  <autoFilter ref="A144:L156" xr:uid="{E2F6016F-87D9-40CA-9BA3-1EE44AD8E72C}"/>
  <sortState xmlns:xlrd2="http://schemas.microsoft.com/office/spreadsheetml/2017/richdata2" ref="A145:L156">
    <sortCondition ref="A144:A156"/>
  </sortState>
  <tableColumns count="12">
    <tableColumn id="1" xr3:uid="{0FA0CC1B-9010-4B59-AAC3-55684F728A04}" name="Code-barres" dataDxfId="34"/>
    <tableColumn id="2" xr3:uid="{2CB42A1C-8497-4F61-8D6E-C0AE9ACF9C8B}" name="Cultivé au Québec" dataDxfId="33"/>
    <tableColumn id="3" xr3:uid="{070AB0AA-6ECC-4919-9FDA-F9EC3F5BCA2E}" name="Espèce" dataDxfId="32"/>
    <tableColumn id="4" xr3:uid="{FBC7B2BF-DB5C-436D-B171-E4BF2B98915F}" name="Nom produit" dataDxfId="31"/>
    <tableColumn id="5" xr3:uid="{E1FF838A-833F-4578-8F59-D55B0995BF1E}" name="Variété" dataDxfId="30"/>
    <tableColumn id="6" xr3:uid="{96BCCCEC-6F63-4A0E-AE0B-554130956BFC}" name="Marque" dataDxfId="29"/>
    <tableColumn id="7" xr3:uid="{86013611-F265-4580-B7C6-5EE43C74E2A0}" name="Terpène dominant" dataDxfId="28"/>
    <tableColumn id="8" xr3:uid="{E636B42D-6F5A-4754-A988-89A947A52319}" name="Arômes" dataDxfId="27"/>
    <tableColumn id="9" xr3:uid="{B7D1E3D4-CDC7-4B37-AC99-29772FBD11DC}" name="Arômes2" dataDxfId="26"/>
    <tableColumn id="10" xr3:uid="{48C048F8-53FD-4D9A-9231-F27E65DCAF98}" name="Format" dataDxfId="25"/>
    <tableColumn id="11" xr3:uid="{E82845A6-8A3D-45FA-993B-75A4B4EFDF4A}" name="Cathégorie" dataDxfId="24"/>
    <tableColumn id="12" xr3:uid="{675E6666-CA04-4C10-9AB2-FAC17FAD7086}" name="Prix" dataDxfId="2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1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Relationship Id="rId9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1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1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Relationship Id="rId9" Type="http://schemas.openxmlformats.org/officeDocument/2006/relationships/table" Target="../tables/table2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2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table" Target="../tables/table2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2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2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Relationship Id="rId9" Type="http://schemas.openxmlformats.org/officeDocument/2006/relationships/table" Target="../tables/table3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3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9" Type="http://schemas.openxmlformats.org/officeDocument/2006/relationships/table" Target="../tables/table3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5.xml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3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table" Target="../tables/table36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8.xml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3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9" Type="http://schemas.openxmlformats.org/officeDocument/2006/relationships/table" Target="../tables/table3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1.xml"/><Relationship Id="rId3" Type="http://schemas.openxmlformats.org/officeDocument/2006/relationships/vmlDrawing" Target="../drawings/vmlDrawing15.vml"/><Relationship Id="rId7" Type="http://schemas.openxmlformats.org/officeDocument/2006/relationships/table" Target="../tables/table4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Relationship Id="rId9" Type="http://schemas.openxmlformats.org/officeDocument/2006/relationships/table" Target="../tables/table4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4.xml"/><Relationship Id="rId3" Type="http://schemas.openxmlformats.org/officeDocument/2006/relationships/vmlDrawing" Target="../drawings/vmlDrawing16.vml"/><Relationship Id="rId7" Type="http://schemas.openxmlformats.org/officeDocument/2006/relationships/table" Target="../tables/table4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9" Type="http://schemas.openxmlformats.org/officeDocument/2006/relationships/table" Target="../tables/table4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7.xml"/><Relationship Id="rId3" Type="http://schemas.openxmlformats.org/officeDocument/2006/relationships/vmlDrawing" Target="../drawings/vmlDrawing17.vml"/><Relationship Id="rId7" Type="http://schemas.openxmlformats.org/officeDocument/2006/relationships/table" Target="../tables/table4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9" Type="http://schemas.openxmlformats.org/officeDocument/2006/relationships/table" Target="../tables/table4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0.xml"/><Relationship Id="rId3" Type="http://schemas.openxmlformats.org/officeDocument/2006/relationships/vmlDrawing" Target="../drawings/vmlDrawing18.vml"/><Relationship Id="rId7" Type="http://schemas.openxmlformats.org/officeDocument/2006/relationships/table" Target="../tables/table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Relationship Id="rId9" Type="http://schemas.openxmlformats.org/officeDocument/2006/relationships/table" Target="../tables/table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5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39D1-6ED3-4223-A937-E66D0508C445}">
  <sheetPr codeName="Feuil5">
    <pageSetUpPr fitToPage="1"/>
  </sheetPr>
  <dimension ref="A1:O128"/>
  <sheetViews>
    <sheetView zoomScale="85" zoomScaleNormal="85" workbookViewId="0">
      <selection activeCell="K18" sqref="K18"/>
    </sheetView>
  </sheetViews>
  <sheetFormatPr baseColWidth="10" defaultColWidth="11.42578125" defaultRowHeight="15" x14ac:dyDescent="0.25"/>
  <cols>
    <col min="1" max="1" width="2.85546875" customWidth="1"/>
    <col min="2" max="2" width="43.5703125" bestFit="1" customWidth="1"/>
    <col min="3" max="3" width="14.140625" bestFit="1" customWidth="1"/>
    <col min="4" max="4" width="21.85546875" bestFit="1" customWidth="1"/>
    <col min="5" max="5" width="13.5703125" customWidth="1"/>
    <col min="6" max="6" width="14.140625" style="13" bestFit="1" customWidth="1"/>
    <col min="7" max="7" width="21.7109375" style="13" customWidth="1"/>
    <col min="8" max="8" width="17.140625" bestFit="1" customWidth="1"/>
    <col min="9" max="9" width="15.28515625" customWidth="1"/>
  </cols>
  <sheetData>
    <row r="1" spans="1:14" ht="32.25" customHeight="1" thickBot="1" x14ac:dyDescent="0.4">
      <c r="A1" s="147" t="s">
        <v>0</v>
      </c>
      <c r="B1" s="425" t="s">
        <v>1</v>
      </c>
      <c r="C1" s="425"/>
      <c r="D1" s="425"/>
      <c r="E1" s="425"/>
      <c r="F1" s="425"/>
      <c r="G1" s="425"/>
      <c r="H1" s="425"/>
      <c r="I1" s="61"/>
      <c r="J1" s="423" t="s">
        <v>2</v>
      </c>
      <c r="K1" s="423"/>
      <c r="L1" s="423"/>
      <c r="M1" s="423"/>
    </row>
    <row r="2" spans="1:14" ht="17.25" customHeight="1" thickTop="1" thickBot="1" x14ac:dyDescent="0.35">
      <c r="B2" s="417" t="s">
        <v>3</v>
      </c>
      <c r="C2" s="418"/>
      <c r="D2" s="46" t="s">
        <v>4</v>
      </c>
      <c r="E2" s="45" t="s">
        <v>5</v>
      </c>
      <c r="F2" s="146" t="s">
        <v>6</v>
      </c>
      <c r="G2" s="43" t="s">
        <v>7</v>
      </c>
      <c r="H2" s="42" t="s">
        <v>8</v>
      </c>
      <c r="I2" s="41"/>
      <c r="K2" s="145" t="s">
        <v>9</v>
      </c>
      <c r="L2" s="145" t="s">
        <v>10</v>
      </c>
      <c r="M2" s="135" t="s">
        <v>11</v>
      </c>
      <c r="N2" s="144" t="s">
        <v>12</v>
      </c>
    </row>
    <row r="3" spans="1:14" ht="3.75" customHeight="1" thickTop="1" thickBot="1" x14ac:dyDescent="0.35">
      <c r="B3" s="97"/>
      <c r="C3" s="96"/>
      <c r="D3" s="143"/>
      <c r="E3" s="142"/>
      <c r="F3" s="141"/>
      <c r="G3" s="140"/>
      <c r="H3" s="91"/>
      <c r="I3" s="41"/>
      <c r="K3" s="85"/>
      <c r="L3" s="85"/>
      <c r="M3" s="135"/>
      <c r="N3" s="134"/>
    </row>
    <row r="4" spans="1:14" ht="17.25" customHeight="1" thickTop="1" thickBot="1" x14ac:dyDescent="0.3">
      <c r="B4" s="426" t="s">
        <v>13</v>
      </c>
      <c r="C4" s="427"/>
      <c r="D4" s="139"/>
      <c r="E4" s="90"/>
      <c r="F4" s="138"/>
      <c r="G4" s="137"/>
      <c r="H4" s="136"/>
      <c r="I4" s="80"/>
      <c r="K4" s="85"/>
      <c r="L4" s="85"/>
      <c r="M4" s="135"/>
      <c r="N4" s="134"/>
    </row>
    <row r="5" spans="1:14" ht="18" thickTop="1" thickBot="1" x14ac:dyDescent="0.3">
      <c r="B5" s="409" t="s">
        <v>14</v>
      </c>
      <c r="C5" s="410"/>
      <c r="D5" s="131"/>
      <c r="E5" s="10"/>
      <c r="F5" s="130"/>
      <c r="G5" s="82"/>
      <c r="H5" s="81"/>
      <c r="I5" s="80"/>
      <c r="K5" s="133">
        <v>33.5</v>
      </c>
      <c r="L5" s="133">
        <v>28.35</v>
      </c>
      <c r="M5" s="132">
        <v>30</v>
      </c>
      <c r="N5" s="127">
        <f>(K5*L5)/M5</f>
        <v>31.657500000000002</v>
      </c>
    </row>
    <row r="6" spans="1:14" ht="18" thickTop="1" thickBot="1" x14ac:dyDescent="0.3">
      <c r="B6" s="409" t="s">
        <v>15</v>
      </c>
      <c r="C6" s="410"/>
      <c r="D6" s="131"/>
      <c r="E6" s="10"/>
      <c r="F6" s="130"/>
      <c r="G6" s="82"/>
      <c r="H6" s="81"/>
      <c r="I6" s="80"/>
      <c r="K6" s="129"/>
      <c r="L6" s="129"/>
      <c r="M6" s="128"/>
      <c r="N6" s="127"/>
    </row>
    <row r="7" spans="1:14" ht="17.25" customHeight="1" thickTop="1" x14ac:dyDescent="0.25">
      <c r="B7" s="415" t="s">
        <v>16</v>
      </c>
      <c r="C7" s="416"/>
      <c r="D7" s="76"/>
      <c r="E7" s="76"/>
      <c r="F7" s="109"/>
      <c r="G7" s="74"/>
      <c r="H7" s="73"/>
      <c r="I7" s="31"/>
    </row>
    <row r="8" spans="1:14" ht="17.25" customHeight="1" x14ac:dyDescent="0.25">
      <c r="B8" s="415" t="s">
        <v>17</v>
      </c>
      <c r="C8" s="416"/>
      <c r="D8" s="76"/>
      <c r="E8" s="76"/>
      <c r="F8" s="109"/>
      <c r="G8" s="74"/>
      <c r="H8" s="73"/>
      <c r="I8" s="31"/>
    </row>
    <row r="9" spans="1:14" ht="17.25" customHeight="1" x14ac:dyDescent="0.25">
      <c r="B9" s="415" t="s">
        <v>18</v>
      </c>
      <c r="C9" s="416"/>
      <c r="D9" s="76"/>
      <c r="E9" s="76"/>
      <c r="F9" s="109"/>
      <c r="G9" s="74"/>
      <c r="H9" s="73"/>
      <c r="I9" s="31"/>
    </row>
    <row r="10" spans="1:14" ht="17.25" customHeight="1" x14ac:dyDescent="0.25">
      <c r="B10" s="415" t="s">
        <v>19</v>
      </c>
      <c r="C10" s="416"/>
      <c r="D10" s="76"/>
      <c r="E10" s="76"/>
      <c r="F10" s="109"/>
      <c r="G10" s="74"/>
      <c r="H10" s="73"/>
      <c r="I10" s="31"/>
    </row>
    <row r="11" spans="1:14" ht="17.25" customHeight="1" x14ac:dyDescent="0.25">
      <c r="B11" s="415" t="s">
        <v>20</v>
      </c>
      <c r="C11" s="416"/>
      <c r="D11" s="76"/>
      <c r="E11" s="76"/>
      <c r="F11" s="109"/>
      <c r="G11" s="74"/>
      <c r="H11" s="73"/>
      <c r="I11" s="31"/>
    </row>
    <row r="12" spans="1:14" ht="17.25" customHeight="1" x14ac:dyDescent="0.25">
      <c r="B12" s="415" t="s">
        <v>21</v>
      </c>
      <c r="C12" s="416"/>
      <c r="D12" s="76"/>
      <c r="E12" s="76"/>
      <c r="F12" s="109"/>
      <c r="G12" s="74"/>
      <c r="H12" s="73"/>
      <c r="I12" s="31"/>
    </row>
    <row r="13" spans="1:14" ht="17.25" customHeight="1" x14ac:dyDescent="0.25">
      <c r="B13" s="415" t="s">
        <v>22</v>
      </c>
      <c r="C13" s="416"/>
      <c r="D13" s="76"/>
      <c r="E13" s="76"/>
      <c r="F13" s="109"/>
      <c r="G13" s="74"/>
      <c r="H13" s="73"/>
      <c r="I13" s="31"/>
    </row>
    <row r="14" spans="1:14" ht="17.25" customHeight="1" x14ac:dyDescent="0.25">
      <c r="B14" s="415" t="s">
        <v>23</v>
      </c>
      <c r="C14" s="416"/>
      <c r="D14" s="76"/>
      <c r="E14" s="76"/>
      <c r="F14" s="109"/>
      <c r="G14" s="74"/>
      <c r="H14" s="73"/>
      <c r="I14" s="31"/>
    </row>
    <row r="15" spans="1:14" ht="17.25" customHeight="1" x14ac:dyDescent="0.25">
      <c r="B15" s="415" t="s">
        <v>24</v>
      </c>
      <c r="C15" s="416"/>
      <c r="D15" s="76"/>
      <c r="E15" s="76"/>
      <c r="F15" s="109"/>
      <c r="G15" s="74"/>
      <c r="H15" s="73"/>
      <c r="I15" s="31"/>
    </row>
    <row r="16" spans="1:14" ht="17.25" customHeight="1" x14ac:dyDescent="0.25">
      <c r="B16" s="415" t="s">
        <v>25</v>
      </c>
      <c r="C16" s="416"/>
      <c r="D16" s="10"/>
      <c r="E16" s="76"/>
      <c r="F16" s="109"/>
      <c r="G16" s="74"/>
      <c r="H16" s="73"/>
      <c r="I16" s="31"/>
    </row>
    <row r="17" spans="1:9" ht="17.25" customHeight="1" x14ac:dyDescent="0.25">
      <c r="B17" s="415" t="s">
        <v>26</v>
      </c>
      <c r="C17" s="416"/>
      <c r="D17" s="10"/>
      <c r="E17" s="76"/>
      <c r="F17" s="109"/>
      <c r="G17" s="74"/>
      <c r="H17" s="73"/>
      <c r="I17" s="31"/>
    </row>
    <row r="18" spans="1:9" ht="17.25" customHeight="1" thickBot="1" x14ac:dyDescent="0.3">
      <c r="B18" s="407" t="s">
        <v>27</v>
      </c>
      <c r="C18" s="408"/>
      <c r="D18" s="72"/>
      <c r="E18" s="72"/>
      <c r="F18" s="106"/>
      <c r="G18" s="70"/>
      <c r="H18" s="69"/>
      <c r="I18" s="31"/>
    </row>
    <row r="19" spans="1:9" ht="12" customHeight="1" x14ac:dyDescent="0.25">
      <c r="F19"/>
      <c r="G19"/>
    </row>
    <row r="20" spans="1:9" s="125" customFormat="1" ht="32.25" customHeight="1" thickBot="1" x14ac:dyDescent="0.55000000000000004">
      <c r="A20" s="102"/>
      <c r="B20" s="424" t="s">
        <v>28</v>
      </c>
      <c r="C20" s="424"/>
      <c r="D20" s="424"/>
      <c r="E20" s="424"/>
      <c r="F20" s="424"/>
      <c r="G20" s="424"/>
      <c r="H20" s="424"/>
      <c r="I20" s="126"/>
    </row>
    <row r="21" spans="1:9" ht="17.25" customHeight="1" thickBot="1" x14ac:dyDescent="0.35">
      <c r="B21" s="432" t="s">
        <v>3</v>
      </c>
      <c r="C21" s="433"/>
      <c r="D21" s="124" t="s">
        <v>4</v>
      </c>
      <c r="E21" s="124" t="s">
        <v>5</v>
      </c>
      <c r="F21" s="123" t="s">
        <v>6</v>
      </c>
      <c r="G21" s="122" t="s">
        <v>29</v>
      </c>
      <c r="H21" s="121" t="s">
        <v>30</v>
      </c>
      <c r="I21" s="114"/>
    </row>
    <row r="22" spans="1:9" ht="3.75" customHeight="1" x14ac:dyDescent="0.3">
      <c r="B22" s="120"/>
      <c r="C22" s="119"/>
      <c r="D22" s="118"/>
      <c r="E22" s="118"/>
      <c r="F22" s="117"/>
      <c r="G22" s="116"/>
      <c r="H22" s="115"/>
      <c r="I22" s="114"/>
    </row>
    <row r="23" spans="1:9" ht="17.25" customHeight="1" x14ac:dyDescent="0.25">
      <c r="B23" s="413" t="s">
        <v>31</v>
      </c>
      <c r="C23" s="414"/>
      <c r="D23" s="113"/>
      <c r="E23" s="113"/>
      <c r="F23" s="112"/>
      <c r="G23" s="111"/>
      <c r="H23" s="110"/>
      <c r="I23" s="31"/>
    </row>
    <row r="24" spans="1:9" ht="17.25" customHeight="1" x14ac:dyDescent="0.25">
      <c r="B24" s="405" t="s">
        <v>32</v>
      </c>
      <c r="C24" s="406"/>
      <c r="D24" s="76"/>
      <c r="E24" s="76"/>
      <c r="F24" s="109"/>
      <c r="G24" s="108"/>
      <c r="H24" s="107"/>
      <c r="I24" s="103"/>
    </row>
    <row r="25" spans="1:9" ht="17.25" customHeight="1" x14ac:dyDescent="0.25">
      <c r="B25" s="405" t="s">
        <v>33</v>
      </c>
      <c r="C25" s="406"/>
      <c r="D25" s="76"/>
      <c r="E25" s="76"/>
      <c r="F25" s="109"/>
      <c r="G25" s="108"/>
      <c r="H25" s="107"/>
      <c r="I25" s="103"/>
    </row>
    <row r="26" spans="1:9" ht="17.25" customHeight="1" x14ac:dyDescent="0.25">
      <c r="B26" s="405" t="s">
        <v>34</v>
      </c>
      <c r="C26" s="406"/>
      <c r="D26" s="76"/>
      <c r="E26" s="76"/>
      <c r="F26" s="109"/>
      <c r="G26" s="108"/>
      <c r="H26" s="107"/>
      <c r="I26" s="103"/>
    </row>
    <row r="27" spans="1:9" ht="17.25" customHeight="1" x14ac:dyDescent="0.25">
      <c r="B27" s="405" t="s">
        <v>35</v>
      </c>
      <c r="C27" s="406"/>
      <c r="D27" s="76"/>
      <c r="E27" s="76"/>
      <c r="F27" s="109"/>
      <c r="G27" s="108"/>
      <c r="H27" s="107"/>
      <c r="I27" s="103"/>
    </row>
    <row r="28" spans="1:9" ht="17.25" customHeight="1" x14ac:dyDescent="0.25">
      <c r="B28" s="405" t="s">
        <v>36</v>
      </c>
      <c r="C28" s="406"/>
      <c r="D28" s="76"/>
      <c r="E28" s="76"/>
      <c r="F28" s="109"/>
      <c r="G28" s="108"/>
      <c r="H28" s="107"/>
      <c r="I28" s="103"/>
    </row>
    <row r="29" spans="1:9" ht="17.25" customHeight="1" x14ac:dyDescent="0.25">
      <c r="B29" s="405" t="s">
        <v>37</v>
      </c>
      <c r="C29" s="406"/>
      <c r="D29" s="76"/>
      <c r="E29" s="76"/>
      <c r="F29" s="109"/>
      <c r="G29" s="108"/>
      <c r="H29" s="107"/>
      <c r="I29" s="103"/>
    </row>
    <row r="30" spans="1:9" ht="17.25" customHeight="1" thickBot="1" x14ac:dyDescent="0.3">
      <c r="B30" s="421" t="s">
        <v>38</v>
      </c>
      <c r="C30" s="422"/>
      <c r="D30" s="72"/>
      <c r="E30" s="72"/>
      <c r="F30" s="106"/>
      <c r="G30" s="105"/>
      <c r="H30" s="104"/>
      <c r="I30" s="103"/>
    </row>
    <row r="31" spans="1:9" ht="11.25" customHeight="1" x14ac:dyDescent="0.25">
      <c r="F31"/>
      <c r="G31"/>
    </row>
    <row r="32" spans="1:9" ht="32.25" customHeight="1" thickBot="1" x14ac:dyDescent="0.45">
      <c r="A32" s="102"/>
      <c r="B32" s="425" t="s">
        <v>39</v>
      </c>
      <c r="C32" s="425"/>
      <c r="D32" s="425"/>
      <c r="E32" s="425"/>
      <c r="F32" s="425"/>
      <c r="G32" s="425"/>
      <c r="H32" s="425"/>
      <c r="I32" s="61"/>
    </row>
    <row r="33" spans="2:14" ht="18" customHeight="1" thickBot="1" x14ac:dyDescent="0.35">
      <c r="B33" s="417" t="s">
        <v>3</v>
      </c>
      <c r="C33" s="418"/>
      <c r="D33" s="101" t="s">
        <v>4</v>
      </c>
      <c r="E33" s="100" t="s">
        <v>5</v>
      </c>
      <c r="F33" s="99" t="s">
        <v>6</v>
      </c>
      <c r="G33" s="98" t="s">
        <v>7</v>
      </c>
      <c r="H33" s="42" t="s">
        <v>8</v>
      </c>
      <c r="I33" s="41" t="s">
        <v>40</v>
      </c>
      <c r="J33" s="9" t="s">
        <v>41</v>
      </c>
    </row>
    <row r="34" spans="2:14" ht="3.75" customHeight="1" thickBot="1" x14ac:dyDescent="0.35">
      <c r="B34" s="97"/>
      <c r="C34" s="96"/>
      <c r="D34" s="95"/>
      <c r="E34" s="94"/>
      <c r="F34" s="93"/>
      <c r="G34" s="92"/>
      <c r="H34" s="91"/>
      <c r="I34" s="41"/>
    </row>
    <row r="35" spans="2:14" ht="18" customHeight="1" x14ac:dyDescent="0.25">
      <c r="B35" s="419" t="s">
        <v>42</v>
      </c>
      <c r="C35" s="420"/>
      <c r="D35" s="90"/>
      <c r="E35" s="90"/>
      <c r="F35" s="89"/>
      <c r="G35" s="88"/>
      <c r="H35" s="87"/>
      <c r="I35" s="31"/>
      <c r="K35" s="85"/>
      <c r="L35" s="85"/>
      <c r="M35" s="85"/>
      <c r="N35" s="84"/>
    </row>
    <row r="36" spans="2:14" ht="18" customHeight="1" x14ac:dyDescent="0.25">
      <c r="B36" s="415" t="s">
        <v>43</v>
      </c>
      <c r="C36" s="416"/>
      <c r="D36" s="10"/>
      <c r="E36" s="10"/>
      <c r="F36" s="83"/>
      <c r="G36" s="86"/>
      <c r="H36" s="73"/>
      <c r="I36" s="31"/>
      <c r="K36" s="85"/>
      <c r="L36" s="85"/>
      <c r="M36" s="85"/>
      <c r="N36" s="84"/>
    </row>
    <row r="37" spans="2:14" ht="17.25" customHeight="1" x14ac:dyDescent="0.25">
      <c r="B37" s="409" t="s">
        <v>44</v>
      </c>
      <c r="C37" s="410"/>
      <c r="D37" s="10"/>
      <c r="E37" s="10"/>
      <c r="F37" s="83"/>
      <c r="G37" s="82"/>
      <c r="H37" s="81"/>
      <c r="I37" s="80"/>
    </row>
    <row r="38" spans="2:14" ht="16.5" x14ac:dyDescent="0.25">
      <c r="B38" s="409" t="s">
        <v>45</v>
      </c>
      <c r="C38" s="410"/>
      <c r="D38" s="10"/>
      <c r="E38" s="10"/>
      <c r="F38" s="83"/>
      <c r="G38" s="82"/>
      <c r="H38" s="81"/>
      <c r="I38" s="80"/>
    </row>
    <row r="39" spans="2:14" ht="17.25" customHeight="1" x14ac:dyDescent="0.25">
      <c r="B39" s="405" t="s">
        <v>46</v>
      </c>
      <c r="C39" s="406"/>
      <c r="D39" s="76"/>
      <c r="E39" s="76"/>
      <c r="F39" s="75"/>
      <c r="G39" s="79"/>
      <c r="H39" s="78"/>
      <c r="I39" s="77"/>
    </row>
    <row r="40" spans="2:14" ht="17.25" customHeight="1" x14ac:dyDescent="0.25">
      <c r="B40" s="405" t="s">
        <v>47</v>
      </c>
      <c r="C40" s="406"/>
      <c r="D40" s="76"/>
      <c r="E40" s="76"/>
      <c r="F40" s="75"/>
      <c r="G40" s="74"/>
      <c r="H40" s="73"/>
      <c r="I40" s="31"/>
    </row>
    <row r="41" spans="2:14" ht="17.25" customHeight="1" x14ac:dyDescent="0.25">
      <c r="B41" s="405" t="s">
        <v>48</v>
      </c>
      <c r="C41" s="406"/>
      <c r="D41" s="76"/>
      <c r="E41" s="76"/>
      <c r="F41" s="75"/>
      <c r="G41" s="74"/>
      <c r="H41" s="73"/>
      <c r="I41" s="31"/>
    </row>
    <row r="42" spans="2:14" ht="17.25" customHeight="1" x14ac:dyDescent="0.25">
      <c r="B42" s="405" t="s">
        <v>49</v>
      </c>
      <c r="C42" s="406"/>
      <c r="D42" s="76"/>
      <c r="E42" s="76"/>
      <c r="F42" s="75"/>
      <c r="G42" s="74"/>
      <c r="H42" s="73"/>
      <c r="I42" s="31"/>
    </row>
    <row r="43" spans="2:14" ht="17.25" customHeight="1" thickBot="1" x14ac:dyDescent="0.3">
      <c r="B43" s="407" t="s">
        <v>27</v>
      </c>
      <c r="C43" s="408"/>
      <c r="D43" s="72"/>
      <c r="E43" s="72"/>
      <c r="F43" s="71"/>
      <c r="G43" s="70"/>
      <c r="H43" s="69"/>
      <c r="I43" s="31"/>
    </row>
    <row r="44" spans="2:14" ht="6.75" customHeight="1" thickBot="1" x14ac:dyDescent="0.3">
      <c r="B44" s="68"/>
      <c r="C44" s="67"/>
      <c r="D44" s="67"/>
      <c r="E44" s="66"/>
      <c r="F44" s="65"/>
      <c r="G44" s="64"/>
      <c r="H44" s="63"/>
      <c r="I44" s="62"/>
    </row>
    <row r="45" spans="2:14" ht="29.25" customHeight="1" x14ac:dyDescent="0.25">
      <c r="B45" s="425"/>
      <c r="C45" s="425"/>
      <c r="D45" s="425"/>
      <c r="E45" s="425"/>
      <c r="F45" s="425"/>
      <c r="G45" s="425"/>
      <c r="H45" s="425"/>
      <c r="I45" s="61"/>
    </row>
    <row r="46" spans="2:14" ht="5.25" customHeight="1" thickBot="1" x14ac:dyDescent="0.3">
      <c r="B46" s="61"/>
      <c r="C46" s="61"/>
      <c r="D46" s="61"/>
      <c r="E46" s="61"/>
      <c r="F46" s="61"/>
      <c r="G46" s="61"/>
    </row>
    <row r="47" spans="2:14" ht="16.5" customHeight="1" thickBot="1" x14ac:dyDescent="0.35">
      <c r="B47" s="403" t="s">
        <v>3</v>
      </c>
      <c r="C47" s="404"/>
      <c r="D47" s="60" t="s">
        <v>4</v>
      </c>
      <c r="E47" s="59" t="s">
        <v>5</v>
      </c>
      <c r="F47" s="58" t="s">
        <v>6</v>
      </c>
      <c r="G47" s="57" t="s">
        <v>40</v>
      </c>
      <c r="H47" s="56" t="s">
        <v>41</v>
      </c>
      <c r="I47" s="41"/>
    </row>
    <row r="48" spans="2:14" ht="16.5" customHeight="1" x14ac:dyDescent="0.25">
      <c r="B48" s="411" t="s">
        <v>50</v>
      </c>
      <c r="C48" s="412"/>
      <c r="D48" s="39" t="str">
        <f>IFERROR(VLOOKUP(B48,#REF!,2,0),"")</f>
        <v/>
      </c>
      <c r="E48" s="39" t="str">
        <f>IFERROR(VLOOKUP(B48,#REF!,3,0),"")</f>
        <v/>
      </c>
      <c r="F48" s="55"/>
      <c r="G48" s="37"/>
      <c r="H48" s="54"/>
      <c r="I48" s="31"/>
    </row>
    <row r="49" spans="2:9" ht="16.5" customHeight="1" x14ac:dyDescent="0.25">
      <c r="B49" s="401" t="s">
        <v>51</v>
      </c>
      <c r="C49" s="402"/>
      <c r="D49" s="24" t="str">
        <f>IFERROR(VLOOKUP(B49,#REF!,2,0),"")</f>
        <v/>
      </c>
      <c r="E49" s="24" t="str">
        <f>IFERROR(VLOOKUP(B49,#REF!,3,0),"")</f>
        <v/>
      </c>
      <c r="F49" s="53"/>
      <c r="G49" s="22"/>
      <c r="H49" s="52"/>
      <c r="I49" s="31"/>
    </row>
    <row r="50" spans="2:9" ht="16.5" customHeight="1" x14ac:dyDescent="0.25">
      <c r="B50" s="401" t="s">
        <v>52</v>
      </c>
      <c r="C50" s="402"/>
      <c r="D50" s="24" t="str">
        <f>IFERROR(VLOOKUP(B50,#REF!,2,0),"")</f>
        <v/>
      </c>
      <c r="E50" s="24" t="str">
        <f>IFERROR(VLOOKUP(B50,#REF!,3,0),"")</f>
        <v/>
      </c>
      <c r="F50" s="53"/>
      <c r="G50" s="22"/>
      <c r="H50" s="52"/>
      <c r="I50" s="31"/>
    </row>
    <row r="51" spans="2:9" ht="16.5" customHeight="1" x14ac:dyDescent="0.25">
      <c r="B51" s="401" t="s">
        <v>53</v>
      </c>
      <c r="C51" s="402"/>
      <c r="D51" s="24" t="str">
        <f>IFERROR(VLOOKUP(B51,#REF!,2,0),"")</f>
        <v/>
      </c>
      <c r="E51" s="24" t="str">
        <f>IFERROR(VLOOKUP(B51,#REF!,3,0),"")</f>
        <v/>
      </c>
      <c r="F51" s="53"/>
      <c r="G51" s="22"/>
      <c r="H51" s="52"/>
      <c r="I51" s="31"/>
    </row>
    <row r="52" spans="2:9" ht="4.5" customHeight="1" thickBot="1" x14ac:dyDescent="0.3">
      <c r="B52" s="51"/>
      <c r="C52" s="50"/>
      <c r="D52" s="49"/>
      <c r="E52" s="48"/>
      <c r="F52" s="47"/>
      <c r="G52" s="47"/>
    </row>
    <row r="53" spans="2:9" ht="16.5" customHeight="1" thickBot="1" x14ac:dyDescent="0.35">
      <c r="B53" s="403" t="s">
        <v>3</v>
      </c>
      <c r="C53" s="404"/>
      <c r="D53" s="46" t="s">
        <v>4</v>
      </c>
      <c r="E53" s="45" t="s">
        <v>5</v>
      </c>
      <c r="F53" s="44" t="s">
        <v>6</v>
      </c>
      <c r="G53" s="43" t="s">
        <v>40</v>
      </c>
      <c r="H53" s="42" t="s">
        <v>41</v>
      </c>
      <c r="I53" s="41"/>
    </row>
    <row r="54" spans="2:9" ht="16.5" customHeight="1" x14ac:dyDescent="0.25">
      <c r="B54" s="411" t="s">
        <v>54</v>
      </c>
      <c r="C54" s="412"/>
      <c r="D54" s="40" t="str">
        <f>IFERROR(VLOOKUP(B54,#REF!,2,0),"")</f>
        <v/>
      </c>
      <c r="E54" s="39" t="str">
        <f>IFERROR(VLOOKUP(B54,#REF!,3,0),"")</f>
        <v/>
      </c>
      <c r="F54" s="38" t="str">
        <f>IFERROR(VLOOKUP(B54,#REF!,4,0),"")</f>
        <v/>
      </c>
      <c r="G54" s="37" t="str">
        <f>IFERROR(VLOOKUP(B54,#REF!,5,0),"")</f>
        <v/>
      </c>
      <c r="H54" s="36" t="str">
        <f>IFERROR(VLOOKUP(B54,#REF!,6,0),"")</f>
        <v/>
      </c>
      <c r="I54" s="31"/>
    </row>
    <row r="55" spans="2:9" ht="16.5" customHeight="1" x14ac:dyDescent="0.25">
      <c r="B55" s="401" t="s">
        <v>55</v>
      </c>
      <c r="C55" s="402"/>
      <c r="D55" s="25" t="str">
        <f>IFERROR(VLOOKUP(B55,#REF!,2,0),"")</f>
        <v/>
      </c>
      <c r="E55" s="24" t="str">
        <f>IFERROR(VLOOKUP(B55,#REF!,3,0),"")</f>
        <v/>
      </c>
      <c r="F55" s="23" t="str">
        <f>IFERROR(VLOOKUP(B55,#REF!,4,0),"")</f>
        <v/>
      </c>
      <c r="G55" s="22" t="str">
        <f>IFERROR(VLOOKUP(B55,#REF!,5,0),"")</f>
        <v/>
      </c>
      <c r="H55" s="28" t="str">
        <f>IFERROR(VLOOKUP(B55,#REF!,6,0),"")</f>
        <v/>
      </c>
      <c r="I55" s="31"/>
    </row>
    <row r="56" spans="2:9" ht="16.5" customHeight="1" x14ac:dyDescent="0.25">
      <c r="B56" s="401" t="s">
        <v>56</v>
      </c>
      <c r="C56" s="402"/>
      <c r="D56" s="25" t="str">
        <f>IFERROR(VLOOKUP(B56,#REF!,2,0),"")</f>
        <v/>
      </c>
      <c r="E56" s="24" t="str">
        <f>IFERROR(VLOOKUP(B56,#REF!,3,0),"")</f>
        <v/>
      </c>
      <c r="F56" s="23" t="str">
        <f>IFERROR(VLOOKUP(B56,#REF!,4,0),"")</f>
        <v/>
      </c>
      <c r="G56" s="22" t="str">
        <f>IFERROR(VLOOKUP(B56,#REF!,5,0),"")</f>
        <v/>
      </c>
      <c r="H56" s="28" t="str">
        <f>IFERROR(VLOOKUP(B56,#REF!,6,0),"")</f>
        <v/>
      </c>
      <c r="I56" s="31"/>
    </row>
    <row r="57" spans="2:9" ht="16.5" customHeight="1" x14ac:dyDescent="0.25">
      <c r="B57" s="401" t="s">
        <v>57</v>
      </c>
      <c r="C57" s="402"/>
      <c r="D57" s="25" t="str">
        <f>IFERROR(VLOOKUP(B57,#REF!,2,0),"")</f>
        <v/>
      </c>
      <c r="E57" s="24" t="str">
        <f>IFERROR(VLOOKUP(B57,#REF!,3,0),"")</f>
        <v/>
      </c>
      <c r="F57" s="23" t="str">
        <f>IFERROR(VLOOKUP(B57,#REF!,4,0),"")</f>
        <v/>
      </c>
      <c r="G57" s="22" t="str">
        <f>IFERROR(VLOOKUP(B57,#REF!,5,0),"")</f>
        <v/>
      </c>
      <c r="H57" s="28" t="str">
        <f>IFERROR(VLOOKUP(B57,#REF!,6,0),"")</f>
        <v/>
      </c>
      <c r="I57" s="31"/>
    </row>
    <row r="58" spans="2:9" ht="16.5" customHeight="1" x14ac:dyDescent="0.25">
      <c r="B58" s="401" t="s">
        <v>58</v>
      </c>
      <c r="C58" s="402"/>
      <c r="D58" s="25" t="str">
        <f>IFERROR(VLOOKUP(B58,#REF!,2,0),"")</f>
        <v/>
      </c>
      <c r="E58" s="24" t="str">
        <f>IFERROR(VLOOKUP(B58,#REF!,3,0),"")</f>
        <v/>
      </c>
      <c r="F58" s="23" t="str">
        <f>IFERROR(VLOOKUP(B58,#REF!,4,0),"")</f>
        <v/>
      </c>
      <c r="G58" s="22" t="str">
        <f>IFERROR(VLOOKUP(B58,#REF!,5,0),"")</f>
        <v/>
      </c>
      <c r="H58" s="28" t="str">
        <f>IFERROR(VLOOKUP(B58,#REF!,6,0),"")</f>
        <v/>
      </c>
      <c r="I58" s="31"/>
    </row>
    <row r="59" spans="2:9" ht="16.5" customHeight="1" x14ac:dyDescent="0.25">
      <c r="B59" s="401" t="s">
        <v>59</v>
      </c>
      <c r="C59" s="402"/>
      <c r="D59" s="25" t="str">
        <f>IFERROR(VLOOKUP(B59,#REF!,2,0),"")</f>
        <v/>
      </c>
      <c r="E59" s="24" t="str">
        <f>IFERROR(VLOOKUP(B59,#REF!,3,0),"")</f>
        <v/>
      </c>
      <c r="F59" s="23" t="str">
        <f>IFERROR(VLOOKUP(B59,#REF!,4,0),"")</f>
        <v/>
      </c>
      <c r="G59" s="22" t="str">
        <f>IFERROR(VLOOKUP(B59,#REF!,5,0),"")</f>
        <v/>
      </c>
      <c r="H59" s="28" t="str">
        <f>IFERROR(VLOOKUP(B59,#REF!,6,0),"")</f>
        <v/>
      </c>
      <c r="I59" s="31"/>
    </row>
    <row r="60" spans="2:9" ht="16.5" customHeight="1" x14ac:dyDescent="0.25">
      <c r="B60" s="401" t="s">
        <v>60</v>
      </c>
      <c r="C60" s="402"/>
      <c r="D60" s="25" t="str">
        <f>IFERROR(VLOOKUP(B60,#REF!,2,0),"")</f>
        <v/>
      </c>
      <c r="E60" s="24" t="str">
        <f>IFERROR(VLOOKUP(B60,#REF!,3,0),"")</f>
        <v/>
      </c>
      <c r="F60" s="23" t="str">
        <f>IFERROR(VLOOKUP(B60,#REF!,4,0),"")</f>
        <v/>
      </c>
      <c r="G60" s="22" t="str">
        <f>IFERROR(VLOOKUP(B60,#REF!,5,0),"")</f>
        <v/>
      </c>
      <c r="H60" s="28" t="str">
        <f>IFERROR(VLOOKUP(B60,#REF!,6,0),"")</f>
        <v/>
      </c>
      <c r="I60" s="31"/>
    </row>
    <row r="61" spans="2:9" ht="16.5" customHeight="1" x14ac:dyDescent="0.25">
      <c r="B61" s="401" t="s">
        <v>61</v>
      </c>
      <c r="C61" s="402"/>
      <c r="D61" s="25" t="str">
        <f>IFERROR(VLOOKUP(B61,#REF!,2,0),"")</f>
        <v/>
      </c>
      <c r="E61" s="24" t="str">
        <f>IFERROR(VLOOKUP(B61,#REF!,3,0),"")</f>
        <v/>
      </c>
      <c r="F61" s="23" t="str">
        <f>IFERROR(VLOOKUP(B61,#REF!,4,0),"")</f>
        <v/>
      </c>
      <c r="G61" s="22" t="str">
        <f>IFERROR(VLOOKUP(B61,#REF!,5,0),"")</f>
        <v/>
      </c>
      <c r="H61" s="28" t="str">
        <f>IFERROR(VLOOKUP(B61,#REF!,6,0),"")</f>
        <v/>
      </c>
      <c r="I61" s="31"/>
    </row>
    <row r="62" spans="2:9" ht="16.5" customHeight="1" x14ac:dyDescent="0.25">
      <c r="B62" s="401" t="s">
        <v>62</v>
      </c>
      <c r="C62" s="402"/>
      <c r="D62" s="25" t="str">
        <f>IFERROR(VLOOKUP(B62,#REF!,2,0),"")</f>
        <v/>
      </c>
      <c r="E62" s="24" t="str">
        <f>IFERROR(VLOOKUP(B62,#REF!,3,0),"")</f>
        <v/>
      </c>
      <c r="F62" s="23" t="str">
        <f>IFERROR(VLOOKUP(B62,#REF!,4,0),"")</f>
        <v/>
      </c>
      <c r="G62" s="22" t="str">
        <f>IFERROR(VLOOKUP(B62,#REF!,5,0),"")</f>
        <v/>
      </c>
      <c r="H62" s="28" t="str">
        <f>IFERROR(VLOOKUP(B62,#REF!,6,0),"")</f>
        <v/>
      </c>
      <c r="I62" s="31"/>
    </row>
    <row r="63" spans="2:9" ht="16.5" customHeight="1" x14ac:dyDescent="0.25">
      <c r="B63" s="401" t="s">
        <v>63</v>
      </c>
      <c r="C63" s="402"/>
      <c r="D63" s="25" t="str">
        <f>IFERROR(VLOOKUP(B63,#REF!,2,0),"")</f>
        <v/>
      </c>
      <c r="E63" s="24" t="str">
        <f>IFERROR(VLOOKUP(B63,#REF!,3,0),"")</f>
        <v/>
      </c>
      <c r="F63" s="23" t="str">
        <f>IFERROR(VLOOKUP(B63,#REF!,4,0),"")</f>
        <v/>
      </c>
      <c r="G63" s="22" t="str">
        <f>IFERROR(VLOOKUP(B63,#REF!,5,0),"")</f>
        <v/>
      </c>
      <c r="H63" s="28" t="str">
        <f>IFERROR(VLOOKUP(B63,#REF!,6,0),"")</f>
        <v/>
      </c>
      <c r="I63" s="31"/>
    </row>
    <row r="64" spans="2:9" ht="16.5" customHeight="1" x14ac:dyDescent="0.25">
      <c r="B64" s="401" t="s">
        <v>64</v>
      </c>
      <c r="C64" s="402"/>
      <c r="D64" s="25" t="str">
        <f>IFERROR(VLOOKUP(B64,#REF!,2,0),"")</f>
        <v/>
      </c>
      <c r="E64" s="24" t="str">
        <f>IFERROR(VLOOKUP(B64,#REF!,3,0),"")</f>
        <v/>
      </c>
      <c r="F64" s="23" t="str">
        <f>IFERROR(VLOOKUP(B64,#REF!,4,0),"")</f>
        <v/>
      </c>
      <c r="G64" s="22" t="str">
        <f>IFERROR(VLOOKUP(B64,#REF!,5,0),"")</f>
        <v/>
      </c>
      <c r="H64" s="28" t="str">
        <f>IFERROR(VLOOKUP(B64,#REF!,6,0),"")</f>
        <v/>
      </c>
      <c r="I64" s="31"/>
    </row>
    <row r="65" spans="2:9" ht="16.5" customHeight="1" x14ac:dyDescent="0.25">
      <c r="B65" s="401" t="s">
        <v>65</v>
      </c>
      <c r="C65" s="402"/>
      <c r="D65" s="25"/>
      <c r="E65" s="24"/>
      <c r="F65" s="23"/>
      <c r="G65" s="22"/>
      <c r="H65" s="28"/>
      <c r="I65" s="31"/>
    </row>
    <row r="66" spans="2:9" ht="16.5" customHeight="1" x14ac:dyDescent="0.25">
      <c r="B66" s="401" t="s">
        <v>66</v>
      </c>
      <c r="C66" s="402"/>
      <c r="D66" s="25"/>
      <c r="E66" s="24"/>
      <c r="F66" s="23"/>
      <c r="G66" s="22"/>
      <c r="H66" s="28"/>
      <c r="I66" s="31"/>
    </row>
    <row r="67" spans="2:9" ht="16.5" customHeight="1" x14ac:dyDescent="0.25">
      <c r="B67" s="401" t="s">
        <v>67</v>
      </c>
      <c r="C67" s="402"/>
      <c r="D67" s="25"/>
      <c r="E67" s="24"/>
      <c r="F67" s="23"/>
      <c r="G67" s="22"/>
      <c r="H67" s="28"/>
      <c r="I67" s="31"/>
    </row>
    <row r="68" spans="2:9" ht="16.5" customHeight="1" x14ac:dyDescent="0.25">
      <c r="B68" s="401" t="s">
        <v>68</v>
      </c>
      <c r="C68" s="402"/>
      <c r="D68" s="25"/>
      <c r="E68" s="24"/>
      <c r="F68" s="23"/>
      <c r="G68" s="22"/>
      <c r="H68" s="28"/>
      <c r="I68" s="31"/>
    </row>
    <row r="69" spans="2:9" ht="16.5" customHeight="1" x14ac:dyDescent="0.25">
      <c r="B69" s="401" t="s">
        <v>69</v>
      </c>
      <c r="C69" s="402"/>
      <c r="D69" s="25"/>
      <c r="E69" s="24"/>
      <c r="F69" s="23"/>
      <c r="G69" s="22"/>
      <c r="H69" s="28"/>
      <c r="I69" s="31"/>
    </row>
    <row r="70" spans="2:9" ht="16.5" customHeight="1" x14ac:dyDescent="0.25">
      <c r="B70" s="401" t="s">
        <v>70</v>
      </c>
      <c r="C70" s="402"/>
      <c r="D70" s="25"/>
      <c r="E70" s="24"/>
      <c r="F70" s="23"/>
      <c r="G70" s="22"/>
      <c r="H70" s="28"/>
      <c r="I70" s="31"/>
    </row>
    <row r="71" spans="2:9" ht="16.5" customHeight="1" x14ac:dyDescent="0.25">
      <c r="B71" s="401" t="s">
        <v>71</v>
      </c>
      <c r="C71" s="402"/>
      <c r="D71" s="25"/>
      <c r="E71" s="24"/>
      <c r="F71" s="23"/>
      <c r="G71" s="22"/>
      <c r="H71" s="28"/>
      <c r="I71" s="31"/>
    </row>
    <row r="72" spans="2:9" ht="16.5" customHeight="1" x14ac:dyDescent="0.25">
      <c r="B72" s="401" t="s">
        <v>72</v>
      </c>
      <c r="C72" s="402"/>
      <c r="D72" s="25"/>
      <c r="E72" s="24"/>
      <c r="F72" s="23"/>
      <c r="G72" s="22"/>
      <c r="H72" s="28"/>
      <c r="I72" s="31"/>
    </row>
    <row r="73" spans="2:9" ht="16.5" customHeight="1" x14ac:dyDescent="0.25">
      <c r="B73" s="401" t="s">
        <v>73</v>
      </c>
      <c r="C73" s="402"/>
      <c r="D73" s="25"/>
      <c r="E73" s="24"/>
      <c r="F73" s="23"/>
      <c r="G73" s="22"/>
      <c r="H73" s="28"/>
      <c r="I73" s="31"/>
    </row>
    <row r="74" spans="2:9" ht="16.5" customHeight="1" x14ac:dyDescent="0.25">
      <c r="B74" s="401" t="s">
        <v>74</v>
      </c>
      <c r="C74" s="402"/>
      <c r="D74" s="25"/>
      <c r="E74" s="24"/>
      <c r="F74" s="23"/>
      <c r="G74" s="22"/>
      <c r="H74" s="28"/>
      <c r="I74" s="31"/>
    </row>
    <row r="75" spans="2:9" ht="16.5" customHeight="1" x14ac:dyDescent="0.25">
      <c r="B75" s="401" t="s">
        <v>75</v>
      </c>
      <c r="C75" s="402"/>
      <c r="D75" s="25"/>
      <c r="E75" s="24"/>
      <c r="F75" s="23"/>
      <c r="G75" s="22"/>
      <c r="H75" s="28"/>
      <c r="I75" s="31"/>
    </row>
    <row r="76" spans="2:9" ht="16.5" customHeight="1" x14ac:dyDescent="0.25">
      <c r="B76" s="430" t="s">
        <v>76</v>
      </c>
      <c r="C76" s="431"/>
      <c r="D76" s="25"/>
      <c r="E76" s="24"/>
      <c r="F76" s="23"/>
      <c r="G76" s="22"/>
      <c r="H76" s="28"/>
      <c r="I76" s="31"/>
    </row>
    <row r="77" spans="2:9" ht="16.5" customHeight="1" x14ac:dyDescent="0.25">
      <c r="B77" s="430" t="s">
        <v>77</v>
      </c>
      <c r="C77" s="431"/>
      <c r="D77" s="25"/>
      <c r="E77" s="24"/>
      <c r="F77" s="23"/>
      <c r="G77" s="22"/>
      <c r="H77" s="28"/>
      <c r="I77" s="31"/>
    </row>
    <row r="78" spans="2:9" ht="16.5" customHeight="1" x14ac:dyDescent="0.25">
      <c r="B78" s="430" t="s">
        <v>78</v>
      </c>
      <c r="C78" s="431"/>
      <c r="D78" s="25"/>
      <c r="E78" s="24"/>
      <c r="F78" s="23"/>
      <c r="G78" s="22"/>
      <c r="H78" s="28"/>
      <c r="I78" s="31"/>
    </row>
    <row r="79" spans="2:9" ht="16.5" customHeight="1" x14ac:dyDescent="0.25">
      <c r="B79" s="401" t="s">
        <v>79</v>
      </c>
      <c r="C79" s="402"/>
      <c r="D79" s="25" t="str">
        <f>IFERROR(VLOOKUP(B79,#REF!,2,0),"")</f>
        <v/>
      </c>
      <c r="E79" s="24" t="str">
        <f>IFERROR(VLOOKUP(B79,#REF!,3,0),"")</f>
        <v/>
      </c>
      <c r="F79" s="23" t="str">
        <f>IFERROR(VLOOKUP(B79,#REF!,4,0),"")</f>
        <v/>
      </c>
      <c r="G79" s="22" t="str">
        <f>IFERROR(VLOOKUP(B79,#REF!,5,0),"")</f>
        <v/>
      </c>
      <c r="H79" s="28" t="str">
        <f>IFERROR(VLOOKUP(B79,#REF!,6,0),"")</f>
        <v/>
      </c>
      <c r="I79" s="31"/>
    </row>
    <row r="80" spans="2:9" ht="16.5" customHeight="1" x14ac:dyDescent="0.25">
      <c r="B80" s="401" t="s">
        <v>80</v>
      </c>
      <c r="C80" s="402"/>
      <c r="D80" s="25" t="str">
        <f>IFERROR(VLOOKUP(B80,#REF!,2,0),"")</f>
        <v/>
      </c>
      <c r="E80" s="24" t="str">
        <f>IFERROR(VLOOKUP(B80,#REF!,3,0),"")</f>
        <v/>
      </c>
      <c r="F80" s="23" t="str">
        <f>IFERROR(VLOOKUP(B80,#REF!,4,0),"")</f>
        <v/>
      </c>
      <c r="G80" s="22" t="str">
        <f>IFERROR(VLOOKUP(B80,#REF!,5,0),"")</f>
        <v/>
      </c>
      <c r="H80" s="28" t="str">
        <f>IFERROR(VLOOKUP(B80,#REF!,6,0),"")</f>
        <v/>
      </c>
      <c r="I80" s="31"/>
    </row>
    <row r="81" spans="2:9" ht="16.5" customHeight="1" x14ac:dyDescent="0.25">
      <c r="B81" s="401" t="s">
        <v>81</v>
      </c>
      <c r="C81" s="402"/>
      <c r="D81" s="25" t="str">
        <f>IFERROR(VLOOKUP(B81,#REF!,2,0),"")</f>
        <v/>
      </c>
      <c r="E81" s="24" t="str">
        <f>IFERROR(VLOOKUP(B81,#REF!,3,0),"")</f>
        <v/>
      </c>
      <c r="F81" s="23" t="str">
        <f>IFERROR(VLOOKUP(B81,#REF!,4,0),"")</f>
        <v/>
      </c>
      <c r="G81" s="22" t="str">
        <f>IFERROR(VLOOKUP(B81,#REF!,5,0),"")</f>
        <v/>
      </c>
      <c r="H81" s="28" t="str">
        <f>IFERROR(VLOOKUP(B81,#REF!,6,0),"")</f>
        <v/>
      </c>
      <c r="I81" s="31"/>
    </row>
    <row r="82" spans="2:9" ht="16.5" customHeight="1" x14ac:dyDescent="0.25">
      <c r="B82" s="401" t="s">
        <v>82</v>
      </c>
      <c r="C82" s="402"/>
      <c r="D82" s="25" t="str">
        <f>IFERROR(VLOOKUP(B82,#REF!,2,0),"")</f>
        <v/>
      </c>
      <c r="E82" s="24" t="str">
        <f>IFERROR(VLOOKUP(B82,#REF!,3,0),"")</f>
        <v/>
      </c>
      <c r="F82" s="23" t="str">
        <f>IFERROR(VLOOKUP(B82,#REF!,4,0),"")</f>
        <v/>
      </c>
      <c r="G82" s="22" t="str">
        <f>IFERROR(VLOOKUP(B82,#REF!,5,0),"")</f>
        <v/>
      </c>
      <c r="H82" s="28" t="str">
        <f>IFERROR(VLOOKUP(B82,#REF!,6,0),"")</f>
        <v/>
      </c>
      <c r="I82" s="31"/>
    </row>
    <row r="83" spans="2:9" ht="16.5" customHeight="1" x14ac:dyDescent="0.25">
      <c r="B83" s="401" t="s">
        <v>83</v>
      </c>
      <c r="C83" s="402"/>
      <c r="D83" s="25" t="str">
        <f>IFERROR(VLOOKUP(B83,#REF!,2,0),"")</f>
        <v/>
      </c>
      <c r="E83" s="24" t="str">
        <f>IFERROR(VLOOKUP(B83,#REF!,3,0),"")</f>
        <v/>
      </c>
      <c r="F83" s="23" t="str">
        <f>IFERROR(VLOOKUP(B83,#REF!,4,0),"")</f>
        <v/>
      </c>
      <c r="G83" s="22" t="str">
        <f>IFERROR(VLOOKUP(B83,#REF!,5,0),"")</f>
        <v/>
      </c>
      <c r="H83" s="28" t="str">
        <f>IFERROR(VLOOKUP(B83,#REF!,6,0),"")</f>
        <v/>
      </c>
      <c r="I83" s="31"/>
    </row>
    <row r="84" spans="2:9" ht="16.5" customHeight="1" thickBot="1" x14ac:dyDescent="0.3">
      <c r="B84" s="428" t="s">
        <v>84</v>
      </c>
      <c r="C84" s="429"/>
      <c r="D84" s="18" t="str">
        <f>IFERROR(VLOOKUP(B84,#REF!,2,0),"")</f>
        <v/>
      </c>
      <c r="E84" s="17" t="str">
        <f>IFERROR(VLOOKUP(B84,#REF!,3,0),"")</f>
        <v/>
      </c>
      <c r="F84" s="16" t="str">
        <f>IFERROR(VLOOKUP(B84,#REF!,4,0),"")</f>
        <v/>
      </c>
      <c r="G84" s="15" t="str">
        <f>IFERROR(VLOOKUP(B84,#REF!,5,0),"")</f>
        <v/>
      </c>
      <c r="H84" s="21" t="str">
        <f>IFERROR(VLOOKUP(B84,#REF!,6,0),"")</f>
        <v/>
      </c>
      <c r="I84" s="31"/>
    </row>
    <row r="85" spans="2:9" ht="4.5" customHeight="1" x14ac:dyDescent="0.25">
      <c r="B85" s="35"/>
      <c r="C85" s="34"/>
      <c r="D85" s="33"/>
      <c r="E85" s="32"/>
      <c r="F85" s="31"/>
      <c r="G85" s="31"/>
    </row>
    <row r="86" spans="2:9" ht="45" customHeight="1" x14ac:dyDescent="0.3">
      <c r="B86" s="1"/>
      <c r="C86" s="1"/>
      <c r="D86" s="1"/>
      <c r="E86" s="1"/>
      <c r="F86" s="1"/>
      <c r="G86" s="1"/>
      <c r="H86" s="30" t="s">
        <v>85</v>
      </c>
    </row>
    <row r="87" spans="2:9" ht="45" customHeight="1" x14ac:dyDescent="0.25">
      <c r="B87" s="27" t="s">
        <v>86</v>
      </c>
      <c r="C87" s="26" t="str">
        <f>IFERROR(VLOOKUP(B87,#REF!,5,0),"")</f>
        <v/>
      </c>
      <c r="D87" s="25" t="str">
        <f>IFERROR(VLOOKUP(B87,#REF!,2,0),"")</f>
        <v/>
      </c>
      <c r="E87" s="24" t="str">
        <f>IFERROR(VLOOKUP(B87,#REF!,3,0),"")</f>
        <v/>
      </c>
      <c r="F87" s="23" t="str">
        <f>IFERROR(VLOOKUP(B87,#REF!,4,0),"")</f>
        <v/>
      </c>
      <c r="G87" s="29" t="s">
        <v>87</v>
      </c>
      <c r="H87" s="28" t="s">
        <v>88</v>
      </c>
    </row>
    <row r="88" spans="2:9" ht="45" customHeight="1" x14ac:dyDescent="0.25">
      <c r="B88" s="27" t="s">
        <v>89</v>
      </c>
      <c r="C88" s="26" t="str">
        <f>IFERROR(VLOOKUP(B88,#REF!,5,0),"")</f>
        <v/>
      </c>
      <c r="D88" s="25" t="str">
        <f>IFERROR(VLOOKUP(B88,#REF!,2,0),"")</f>
        <v/>
      </c>
      <c r="E88" s="24" t="str">
        <f>IFERROR(VLOOKUP(B88,#REF!,3,0),"")</f>
        <v/>
      </c>
      <c r="F88" s="23" t="str">
        <f>IFERROR(VLOOKUP(B88,#REF!,4,0),"")</f>
        <v/>
      </c>
      <c r="G88" s="22" t="s">
        <v>87</v>
      </c>
      <c r="H88" s="28" t="s">
        <v>90</v>
      </c>
    </row>
    <row r="89" spans="2:9" ht="45" customHeight="1" x14ac:dyDescent="0.25">
      <c r="B89" s="27" t="s">
        <v>91</v>
      </c>
      <c r="C89" s="26" t="str">
        <f>IFERROR(VLOOKUP(B89,#REF!,5,0),"")</f>
        <v/>
      </c>
      <c r="D89" s="25" t="str">
        <f>IFERROR(VLOOKUP(B89,#REF!,2,0),"")</f>
        <v/>
      </c>
      <c r="E89" s="24" t="str">
        <f>IFERROR(VLOOKUP(B89,#REF!,3,0),"")</f>
        <v/>
      </c>
      <c r="F89" s="23" t="str">
        <f>IFERROR(VLOOKUP(B89,#REF!,4,0),"")</f>
        <v/>
      </c>
      <c r="G89" s="22" t="s">
        <v>87</v>
      </c>
      <c r="H89" s="28" t="s">
        <v>87</v>
      </c>
    </row>
    <row r="90" spans="2:9" ht="45" customHeight="1" x14ac:dyDescent="0.25">
      <c r="B90" s="27" t="s">
        <v>92</v>
      </c>
      <c r="C90" s="26" t="str">
        <f>IFERROR(VLOOKUP(B90,#REF!,5,0),"")</f>
        <v/>
      </c>
      <c r="D90" s="25" t="str">
        <f>IFERROR(VLOOKUP(B90,#REF!,2,0),"")</f>
        <v/>
      </c>
      <c r="E90" s="24" t="str">
        <f>IFERROR(VLOOKUP(B90,#REF!,3,0),"")</f>
        <v/>
      </c>
      <c r="F90" s="23" t="str">
        <f>IFERROR(VLOOKUP(B90,#REF!,4,0),"")</f>
        <v/>
      </c>
      <c r="G90" s="22" t="s">
        <v>93</v>
      </c>
      <c r="H90" s="28" t="s">
        <v>93</v>
      </c>
    </row>
    <row r="91" spans="2:9" ht="45" customHeight="1" thickBot="1" x14ac:dyDescent="0.3">
      <c r="B91" s="27" t="s">
        <v>94</v>
      </c>
      <c r="C91" s="26" t="str">
        <f>IFERROR(VLOOKUP(B91,#REF!,5,0),"")</f>
        <v/>
      </c>
      <c r="D91" s="25" t="str">
        <f>IFERROR(VLOOKUP(B91,#REF!,2,0),"")</f>
        <v/>
      </c>
      <c r="E91" s="24" t="str">
        <f>IFERROR(VLOOKUP(B91,#REF!,3,0),"")</f>
        <v/>
      </c>
      <c r="F91" s="23" t="str">
        <f>IFERROR(VLOOKUP(B91,#REF!,4,0),"")</f>
        <v/>
      </c>
      <c r="G91" s="22" t="s">
        <v>93</v>
      </c>
      <c r="H91" s="21" t="s">
        <v>95</v>
      </c>
    </row>
    <row r="92" spans="2:9" ht="45" customHeight="1" thickBot="1" x14ac:dyDescent="0.3">
      <c r="B92" s="20" t="s">
        <v>96</v>
      </c>
      <c r="C92" s="19" t="str">
        <f>IFERROR(VLOOKUP(B92,#REF!,5,0),"")</f>
        <v/>
      </c>
      <c r="D92" s="18" t="str">
        <f>IFERROR(VLOOKUP(B92,#REF!,2,0),"")</f>
        <v/>
      </c>
      <c r="E92" s="17" t="str">
        <f>IFERROR(VLOOKUP(B92,#REF!,3,0),"")</f>
        <v/>
      </c>
      <c r="F92" s="16" t="str">
        <f>IFERROR(VLOOKUP(B92,#REF!,4,0),"")</f>
        <v/>
      </c>
      <c r="G92" s="15" t="s">
        <v>87</v>
      </c>
    </row>
    <row r="93" spans="2:9" ht="3" customHeight="1" x14ac:dyDescent="0.25"/>
    <row r="94" spans="2:9" ht="16.5" customHeight="1" x14ac:dyDescent="0.25"/>
    <row r="95" spans="2:9" ht="16.5" customHeight="1" x14ac:dyDescent="0.25"/>
    <row r="96" spans="2:9" ht="16.5" customHeight="1" x14ac:dyDescent="0.25"/>
    <row r="97" spans="15:15" ht="16.5" customHeight="1" x14ac:dyDescent="0.25"/>
    <row r="98" spans="15:15" ht="16.5" customHeight="1" x14ac:dyDescent="0.25"/>
    <row r="99" spans="15:15" ht="16.5" customHeight="1" x14ac:dyDescent="0.25"/>
    <row r="100" spans="15:15" ht="16.5" customHeight="1" x14ac:dyDescent="0.25"/>
    <row r="101" spans="15:15" ht="16.5" customHeight="1" x14ac:dyDescent="0.25">
      <c r="O101" s="7"/>
    </row>
    <row r="102" spans="15:15" ht="16.5" customHeight="1" x14ac:dyDescent="0.25">
      <c r="O102" s="7"/>
    </row>
    <row r="103" spans="15:15" ht="16.5" customHeight="1" x14ac:dyDescent="0.25"/>
    <row r="104" spans="15:15" ht="16.5" customHeight="1" x14ac:dyDescent="0.25"/>
    <row r="105" spans="15:15" ht="16.5" customHeight="1" x14ac:dyDescent="0.25"/>
    <row r="106" spans="15:15" ht="16.5" customHeight="1" x14ac:dyDescent="0.25"/>
    <row r="107" spans="15:15" ht="16.5" customHeight="1" x14ac:dyDescent="0.25"/>
    <row r="108" spans="15:15" ht="3" customHeight="1" x14ac:dyDescent="0.25"/>
    <row r="109" spans="15:15" ht="18.75" customHeight="1" x14ac:dyDescent="0.25"/>
    <row r="110" spans="15:15" ht="16.5" customHeight="1" x14ac:dyDescent="0.25"/>
    <row r="111" spans="15:15" ht="8.25" customHeight="1" x14ac:dyDescent="0.25"/>
    <row r="112" spans="15:15" ht="16.5" customHeight="1" x14ac:dyDescent="0.25"/>
    <row r="113" spans="1:9" ht="16.5" customHeight="1" x14ac:dyDescent="0.25"/>
    <row r="114" spans="1:9" ht="16.5" customHeight="1" x14ac:dyDescent="0.25"/>
    <row r="115" spans="1:9" ht="18" customHeight="1" x14ac:dyDescent="0.25"/>
    <row r="116" spans="1:9" ht="3" customHeight="1" x14ac:dyDescent="0.25"/>
    <row r="117" spans="1:9" ht="16.5" customHeight="1" x14ac:dyDescent="0.25"/>
    <row r="118" spans="1:9" ht="16.5" customHeight="1" x14ac:dyDescent="0.25"/>
    <row r="119" spans="1:9" ht="3" customHeight="1" x14ac:dyDescent="0.25"/>
    <row r="120" spans="1:9" ht="16.5" customHeight="1" x14ac:dyDescent="0.25"/>
    <row r="121" spans="1:9" ht="3" customHeight="1" x14ac:dyDescent="0.25"/>
    <row r="122" spans="1:9" ht="16.5" customHeight="1" x14ac:dyDescent="0.25"/>
    <row r="123" spans="1:9" s="14" customFormat="1" ht="3" customHeight="1" x14ac:dyDescent="0.25">
      <c r="A123"/>
      <c r="B123"/>
      <c r="C123"/>
      <c r="D123"/>
      <c r="E123"/>
      <c r="F123" s="13"/>
      <c r="G123" s="13"/>
      <c r="H123"/>
      <c r="I123"/>
    </row>
    <row r="124" spans="1:9" ht="16.5" customHeight="1" x14ac:dyDescent="0.25">
      <c r="A124" s="14"/>
    </row>
    <row r="125" spans="1:9" s="14" customFormat="1" ht="3" customHeight="1" x14ac:dyDescent="0.25">
      <c r="A125"/>
      <c r="B125"/>
      <c r="C125"/>
      <c r="D125"/>
      <c r="E125"/>
      <c r="F125" s="13"/>
      <c r="G125" s="13"/>
      <c r="H125"/>
      <c r="I125"/>
    </row>
    <row r="126" spans="1:9" ht="16.5" customHeight="1" x14ac:dyDescent="0.25">
      <c r="A126" s="14"/>
    </row>
    <row r="127" spans="1:9" ht="16.5" customHeight="1" x14ac:dyDescent="0.25"/>
    <row r="128" spans="1:9" ht="19.5" customHeight="1" x14ac:dyDescent="0.25"/>
  </sheetData>
  <sheetProtection formatCells="0" formatRows="0" insertColumns="0" insertRows="0" deleteRows="0" sort="0" autoFilter="0" pivotTables="0"/>
  <protectedRanges>
    <protectedRange sqref="B47:B84 G21:I30 G33:I43 B21:C30 B33:B44 F44:G44 C33:C43 C47:C51 C53:C84 G2:I18 B2:C18" name="Plage1"/>
    <protectedRange sqref="G87:G92 B87:C92 H86:H91" name="Plage1_1"/>
  </protectedRanges>
  <mergeCells count="77">
    <mergeCell ref="B54:C54"/>
    <mergeCell ref="B62:C62"/>
    <mergeCell ref="B74:C74"/>
    <mergeCell ref="B75:C75"/>
    <mergeCell ref="B66:C66"/>
    <mergeCell ref="B65:C65"/>
    <mergeCell ref="B56:C56"/>
    <mergeCell ref="B57:C57"/>
    <mergeCell ref="B58:C58"/>
    <mergeCell ref="B59:C59"/>
    <mergeCell ref="B60:C60"/>
    <mergeCell ref="B72:C72"/>
    <mergeCell ref="B82:C82"/>
    <mergeCell ref="B67:C67"/>
    <mergeCell ref="B68:C68"/>
    <mergeCell ref="B69:C69"/>
    <mergeCell ref="B70:C70"/>
    <mergeCell ref="B81:C81"/>
    <mergeCell ref="B73:C73"/>
    <mergeCell ref="B8:C8"/>
    <mergeCell ref="B83:C83"/>
    <mergeCell ref="B84:C84"/>
    <mergeCell ref="B45:H45"/>
    <mergeCell ref="B76:C76"/>
    <mergeCell ref="B77:C77"/>
    <mergeCell ref="B78:C78"/>
    <mergeCell ref="B79:C79"/>
    <mergeCell ref="B63:C63"/>
    <mergeCell ref="B64:C64"/>
    <mergeCell ref="B32:H32"/>
    <mergeCell ref="B61:C61"/>
    <mergeCell ref="B21:C21"/>
    <mergeCell ref="B55:C55"/>
    <mergeCell ref="B80:C80"/>
    <mergeCell ref="B71:C71"/>
    <mergeCell ref="J1:M1"/>
    <mergeCell ref="B20:H20"/>
    <mergeCell ref="B15:C15"/>
    <mergeCell ref="B16:C16"/>
    <mergeCell ref="B17:C17"/>
    <mergeCell ref="B18:C18"/>
    <mergeCell ref="B1:H1"/>
    <mergeCell ref="B2:C2"/>
    <mergeCell ref="B4:C4"/>
    <mergeCell ref="B5:C5"/>
    <mergeCell ref="B11:C11"/>
    <mergeCell ref="B12:C12"/>
    <mergeCell ref="B13:C13"/>
    <mergeCell ref="B14:C14"/>
    <mergeCell ref="B6:C6"/>
    <mergeCell ref="B7:C7"/>
    <mergeCell ref="B23:C23"/>
    <mergeCell ref="B50:C50"/>
    <mergeCell ref="B41:C41"/>
    <mergeCell ref="B42:C42"/>
    <mergeCell ref="B9:C9"/>
    <mergeCell ref="B10:C10"/>
    <mergeCell ref="B33:C33"/>
    <mergeCell ref="B35:C35"/>
    <mergeCell ref="B36:C36"/>
    <mergeCell ref="B29:C29"/>
    <mergeCell ref="B30:C30"/>
    <mergeCell ref="B28:C28"/>
    <mergeCell ref="B24:C24"/>
    <mergeCell ref="B25:C25"/>
    <mergeCell ref="B26:C26"/>
    <mergeCell ref="B27:C27"/>
    <mergeCell ref="B51:C51"/>
    <mergeCell ref="B53:C53"/>
    <mergeCell ref="B40:C40"/>
    <mergeCell ref="B43:C43"/>
    <mergeCell ref="B37:C37"/>
    <mergeCell ref="B38:C38"/>
    <mergeCell ref="B39:C39"/>
    <mergeCell ref="B47:C47"/>
    <mergeCell ref="B48:C48"/>
    <mergeCell ref="B49:C49"/>
  </mergeCells>
  <conditionalFormatting sqref="C87:C92">
    <cfRule type="cellIs" dxfId="22" priority="1" operator="equal">
      <formula>0</formula>
    </cfRule>
  </conditionalFormatting>
  <dataValidations count="7">
    <dataValidation type="list" allowBlank="1" showInputMessage="1" showErrorMessage="1" sqref="B52 B35:B36" xr:uid="{00000000-0002-0000-0200-000000000000}">
      <formula1>atomiseurindica1</formula1>
    </dataValidation>
    <dataValidation type="list" allowBlank="1" showInputMessage="1" showErrorMessage="1" sqref="B23" xr:uid="{00000000-0002-0000-0200-000001000000}">
      <formula1>piluleindica1</formula1>
    </dataValidation>
    <dataValidation type="list" allowBlank="1" showInputMessage="1" showErrorMessage="1" sqref="B24:B30" xr:uid="{00000000-0002-0000-0200-000008000000}">
      <formula1>pilulehybride1</formula1>
    </dataValidation>
    <dataValidation type="list" allowBlank="1" showInputMessage="1" showErrorMessage="1" sqref="B4:B6" xr:uid="{00000000-0002-0000-0200-000004000000}">
      <formula1>huileindica1</formula1>
    </dataValidation>
    <dataValidation type="list" allowBlank="1" showInputMessage="1" showErrorMessage="1" sqref="B39:B44" xr:uid="{00000000-0002-0000-0200-000006000000}">
      <formula1>atomiseurhybride1</formula1>
    </dataValidation>
    <dataValidation type="list" allowBlank="1" showInputMessage="1" showErrorMessage="1" sqref="B37:B38 B48:B51 B87:B92 B54:B85" xr:uid="{00000000-0002-0000-0200-00000A000000}">
      <formula1>#REF!</formula1>
    </dataValidation>
    <dataValidation type="list" allowBlank="1" showInputMessage="1" showErrorMessage="1" sqref="B7:B18" xr:uid="{00000000-0002-0000-0200-000007000000}">
      <formula1>huilehybride1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paperSize="5" scale="46" fitToHeight="0" orientation="portrait" r:id="rId1"/>
  <rowBreaks count="1" manualBreakCount="1">
    <brk id="43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outon 2">
              <controlPr defaultSize="0" print="0" autoFill="0" autoPict="0" macro="[0]!InsertRowFormulas" altText="Ajouter ligne">
                <anchor moveWithCells="1">
                  <from>
                    <xdr:col>5</xdr:col>
                    <xdr:colOff>714375</xdr:colOff>
                    <xdr:row>0</xdr:row>
                    <xdr:rowOff>38100</xdr:rowOff>
                  </from>
                  <to>
                    <xdr:col>6</xdr:col>
                    <xdr:colOff>895350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outon 5">
              <controlPr defaultSize="0" print="0" autoFill="0" autoPict="0" macro="[0]!InsertRowFormulas" altText="Ajouter ligne">
                <anchor moveWithCells="1">
                  <from>
                    <xdr:col>11</xdr:col>
                    <xdr:colOff>57150</xdr:colOff>
                    <xdr:row>87</xdr:row>
                    <xdr:rowOff>0</xdr:rowOff>
                  </from>
                  <to>
                    <xdr:col>12</xdr:col>
                    <xdr:colOff>638175</xdr:colOff>
                    <xdr:row>87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outon 6">
              <controlPr defaultSize="0" print="0" autoFill="0" autoPict="0" macro="[0]!InsertRowFormulas" altText="Ajouter ligne">
                <anchor moveWithCells="1">
                  <from>
                    <xdr:col>16</xdr:col>
                    <xdr:colOff>590550</xdr:colOff>
                    <xdr:row>18</xdr:row>
                    <xdr:rowOff>0</xdr:rowOff>
                  </from>
                  <to>
                    <xdr:col>18</xdr:col>
                    <xdr:colOff>419100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sertRowFormulas" altText="Ajouter ligne">
                <anchor moveWithCells="1">
                  <from>
                    <xdr:col>5</xdr:col>
                    <xdr:colOff>685800</xdr:colOff>
                    <xdr:row>31</xdr:row>
                    <xdr:rowOff>19050</xdr:rowOff>
                  </from>
                  <to>
                    <xdr:col>6</xdr:col>
                    <xdr:colOff>866775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InsertRowFormulas" altText="Ajouter ligne">
                <anchor moveWithCells="1">
                  <from>
                    <xdr:col>5</xdr:col>
                    <xdr:colOff>752475</xdr:colOff>
                    <xdr:row>19</xdr:row>
                    <xdr:rowOff>19050</xdr:rowOff>
                  </from>
                  <to>
                    <xdr:col>6</xdr:col>
                    <xdr:colOff>933450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InsertRowFormulas" altText="Ajouter ligne">
                <anchor moveWithCells="1">
                  <from>
                    <xdr:col>16</xdr:col>
                    <xdr:colOff>590550</xdr:colOff>
                    <xdr:row>18</xdr:row>
                    <xdr:rowOff>0</xdr:rowOff>
                  </from>
                  <to>
                    <xdr:col>18</xdr:col>
                    <xdr:colOff>419100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sertRowFormulas" altText="Ajouter ligne">
                <anchor moveWithCells="1">
                  <from>
                    <xdr:col>16</xdr:col>
                    <xdr:colOff>590550</xdr:colOff>
                    <xdr:row>18</xdr:row>
                    <xdr:rowOff>0</xdr:rowOff>
                  </from>
                  <to>
                    <xdr:col>18</xdr:col>
                    <xdr:colOff>419100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InsertRowFormulas" altText="Ajouter ligne">
                <anchor moveWithCells="1">
                  <from>
                    <xdr:col>5</xdr:col>
                    <xdr:colOff>714375</xdr:colOff>
                    <xdr:row>44</xdr:row>
                    <xdr:rowOff>28575</xdr:rowOff>
                  </from>
                  <to>
                    <xdr:col>6</xdr:col>
                    <xdr:colOff>895350</xdr:colOff>
                    <xdr:row>45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23F08-0D86-4C27-87FF-510FC5A4A3C4}">
  <sheetPr codeName="Feuil2"/>
  <dimension ref="B13:M47"/>
  <sheetViews>
    <sheetView showGridLines="0" zoomScale="85" zoomScaleNormal="85" workbookViewId="0">
      <selection activeCell="N8" sqref="N8"/>
    </sheetView>
  </sheetViews>
  <sheetFormatPr baseColWidth="10" defaultColWidth="11.42578125" defaultRowHeight="15" x14ac:dyDescent="0.25"/>
  <sheetData>
    <row r="13" spans="2:11" x14ac:dyDescent="0.25">
      <c r="B13" s="434" t="s">
        <v>97</v>
      </c>
      <c r="C13" s="435"/>
      <c r="D13" s="435"/>
      <c r="E13" s="435"/>
      <c r="F13" s="435"/>
      <c r="G13" s="435"/>
      <c r="H13" s="435"/>
      <c r="I13" s="435"/>
      <c r="J13" s="435"/>
      <c r="K13" s="436"/>
    </row>
    <row r="14" spans="2:11" x14ac:dyDescent="0.25">
      <c r="B14" s="437"/>
      <c r="C14" s="438"/>
      <c r="D14" s="438"/>
      <c r="E14" s="438"/>
      <c r="F14" s="438"/>
      <c r="G14" s="438"/>
      <c r="H14" s="438"/>
      <c r="I14" s="438"/>
      <c r="J14" s="438"/>
      <c r="K14" s="439"/>
    </row>
    <row r="15" spans="2:11" ht="15" customHeight="1" x14ac:dyDescent="0.25">
      <c r="B15" s="437"/>
      <c r="C15" s="438"/>
      <c r="D15" s="438"/>
      <c r="E15" s="438"/>
      <c r="F15" s="438"/>
      <c r="G15" s="438"/>
      <c r="H15" s="438"/>
      <c r="I15" s="438"/>
      <c r="J15" s="438"/>
      <c r="K15" s="439"/>
    </row>
    <row r="16" spans="2:11" ht="15" customHeight="1" x14ac:dyDescent="0.25">
      <c r="B16" s="437"/>
      <c r="C16" s="438"/>
      <c r="D16" s="438"/>
      <c r="E16" s="438"/>
      <c r="F16" s="438"/>
      <c r="G16" s="438"/>
      <c r="H16" s="438"/>
      <c r="I16" s="438"/>
      <c r="J16" s="438"/>
      <c r="K16" s="439"/>
    </row>
    <row r="17" spans="2:12" ht="15" customHeight="1" x14ac:dyDescent="0.25">
      <c r="B17" s="440"/>
      <c r="C17" s="441"/>
      <c r="D17" s="441"/>
      <c r="E17" s="441"/>
      <c r="F17" s="441"/>
      <c r="G17" s="441"/>
      <c r="H17" s="441"/>
      <c r="I17" s="441"/>
      <c r="J17" s="441"/>
      <c r="K17" s="442"/>
    </row>
    <row r="18" spans="2:12" x14ac:dyDescent="0.25">
      <c r="L18" s="128"/>
    </row>
    <row r="19" spans="2:12" x14ac:dyDescent="0.25">
      <c r="K19" s="128"/>
    </row>
    <row r="20" spans="2:12" x14ac:dyDescent="0.25">
      <c r="B20" s="269" t="s">
        <v>98</v>
      </c>
    </row>
    <row r="21" spans="2:12" x14ac:dyDescent="0.25">
      <c r="B21" s="270" t="s">
        <v>99</v>
      </c>
    </row>
    <row r="22" spans="2:12" x14ac:dyDescent="0.25">
      <c r="B22" s="270" t="s">
        <v>100</v>
      </c>
    </row>
    <row r="23" spans="2:12" x14ac:dyDescent="0.25">
      <c r="B23" s="271" t="s">
        <v>101</v>
      </c>
    </row>
    <row r="24" spans="2:12" x14ac:dyDescent="0.25">
      <c r="B24" s="128"/>
    </row>
    <row r="25" spans="2:12" x14ac:dyDescent="0.25">
      <c r="B25" s="269" t="s">
        <v>102</v>
      </c>
    </row>
    <row r="26" spans="2:12" x14ac:dyDescent="0.25">
      <c r="B26" s="270" t="s">
        <v>103</v>
      </c>
    </row>
    <row r="27" spans="2:12" x14ac:dyDescent="0.25">
      <c r="B27" s="270" t="s">
        <v>104</v>
      </c>
    </row>
    <row r="28" spans="2:12" x14ac:dyDescent="0.25">
      <c r="B28" s="270" t="s">
        <v>105</v>
      </c>
    </row>
    <row r="29" spans="2:12" x14ac:dyDescent="0.25">
      <c r="B29" s="271" t="s">
        <v>106</v>
      </c>
    </row>
    <row r="30" spans="2:12" x14ac:dyDescent="0.25">
      <c r="B30" s="128"/>
    </row>
    <row r="31" spans="2:12" x14ac:dyDescent="0.25">
      <c r="B31" s="269" t="s">
        <v>107</v>
      </c>
    </row>
    <row r="32" spans="2:12" x14ac:dyDescent="0.25">
      <c r="B32" s="270" t="s">
        <v>108</v>
      </c>
    </row>
    <row r="33" spans="2:13" x14ac:dyDescent="0.25">
      <c r="B33" s="270" t="s">
        <v>109</v>
      </c>
    </row>
    <row r="34" spans="2:13" x14ac:dyDescent="0.25">
      <c r="B34" s="128"/>
    </row>
    <row r="35" spans="2:13" x14ac:dyDescent="0.25">
      <c r="B35" s="269" t="s">
        <v>110</v>
      </c>
    </row>
    <row r="36" spans="2:13" x14ac:dyDescent="0.25">
      <c r="B36" s="271" t="s">
        <v>111</v>
      </c>
    </row>
    <row r="37" spans="2:13" x14ac:dyDescent="0.25">
      <c r="B37" s="270" t="s">
        <v>112</v>
      </c>
    </row>
    <row r="39" spans="2:13" x14ac:dyDescent="0.25">
      <c r="B39" s="200" t="s">
        <v>113</v>
      </c>
      <c r="C39" s="201"/>
      <c r="D39" s="201"/>
      <c r="E39" s="201"/>
      <c r="F39" s="201"/>
      <c r="G39" s="201"/>
      <c r="H39" s="201"/>
      <c r="I39" s="201"/>
      <c r="J39" s="199"/>
      <c r="K39" s="199"/>
      <c r="L39" s="199"/>
      <c r="M39" s="199"/>
    </row>
    <row r="40" spans="2:13" x14ac:dyDescent="0.25">
      <c r="B40" s="200"/>
      <c r="C40" s="201"/>
      <c r="D40" s="201"/>
      <c r="E40" s="201"/>
      <c r="F40" s="201"/>
      <c r="G40" s="201"/>
      <c r="H40" s="201"/>
      <c r="I40" s="201"/>
      <c r="J40" s="199"/>
      <c r="K40" s="199"/>
      <c r="L40" s="199"/>
      <c r="M40" s="199"/>
    </row>
    <row r="41" spans="2:13" x14ac:dyDescent="0.25">
      <c r="B41" s="202" t="s">
        <v>114</v>
      </c>
      <c r="C41" s="201"/>
      <c r="D41" s="201"/>
      <c r="E41" s="201"/>
      <c r="F41" s="201"/>
      <c r="G41" s="201"/>
      <c r="H41" s="201"/>
      <c r="I41" s="201"/>
      <c r="J41" s="199"/>
      <c r="K41" s="199"/>
      <c r="L41" s="199"/>
      <c r="M41" s="199"/>
    </row>
    <row r="42" spans="2:13" x14ac:dyDescent="0.25">
      <c r="B42" s="202" t="s">
        <v>115</v>
      </c>
      <c r="C42" s="201"/>
      <c r="D42" s="201"/>
      <c r="E42" s="201"/>
      <c r="F42" s="201"/>
      <c r="G42" s="201"/>
      <c r="H42" s="201"/>
      <c r="I42" s="201"/>
      <c r="J42" s="199"/>
      <c r="K42" s="199"/>
      <c r="L42" s="199"/>
      <c r="M42" s="199"/>
    </row>
    <row r="43" spans="2:13" x14ac:dyDescent="0.25">
      <c r="B43" s="203" t="s">
        <v>116</v>
      </c>
      <c r="C43" s="201"/>
      <c r="D43" s="201"/>
      <c r="E43" s="201"/>
      <c r="F43" s="201"/>
      <c r="G43" s="201"/>
      <c r="H43" s="201"/>
      <c r="I43" s="201"/>
      <c r="J43" s="199"/>
      <c r="K43" s="199"/>
      <c r="L43" s="199"/>
      <c r="M43" s="199"/>
    </row>
    <row r="44" spans="2:13" x14ac:dyDescent="0.25">
      <c r="B44" s="202" t="s">
        <v>117</v>
      </c>
      <c r="C44" s="201"/>
      <c r="D44" s="201"/>
      <c r="E44" s="201"/>
      <c r="F44" s="201"/>
      <c r="G44" s="201"/>
      <c r="H44" s="201"/>
      <c r="I44" s="201"/>
      <c r="J44" s="199"/>
      <c r="K44" s="199"/>
      <c r="L44" s="199"/>
      <c r="M44" s="199"/>
    </row>
    <row r="45" spans="2:13" x14ac:dyDescent="0.25">
      <c r="B45" s="202" t="s">
        <v>118</v>
      </c>
      <c r="C45" s="201"/>
      <c r="D45" s="201"/>
      <c r="E45" s="201"/>
      <c r="F45" s="201"/>
      <c r="G45" s="201"/>
      <c r="H45" s="201"/>
      <c r="I45" s="201"/>
      <c r="J45" s="199"/>
      <c r="K45" s="199"/>
      <c r="L45" s="199"/>
      <c r="M45" s="199"/>
    </row>
    <row r="46" spans="2:13" x14ac:dyDescent="0.25">
      <c r="B46" s="128"/>
    </row>
    <row r="47" spans="2:13" ht="21" x14ac:dyDescent="0.25">
      <c r="B47" s="204" t="s">
        <v>119</v>
      </c>
    </row>
  </sheetData>
  <sheetProtection sheet="1" formatCells="0" formatColumns="0" formatRows="0" insertColumns="0" insertRows="0" insertHyperlinks="0" deleteColumns="0" deleteRows="0" sort="0" autoFilter="0" pivotTables="0"/>
  <mergeCells count="1">
    <mergeCell ref="B13:K1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F534E-15D6-4CAE-90E4-76B60AAB2FF6}">
  <sheetPr codeName="Feuil3"/>
  <dimension ref="K5"/>
  <sheetViews>
    <sheetView showGridLines="0" showRowColHeaders="0" workbookViewId="0"/>
  </sheetViews>
  <sheetFormatPr baseColWidth="10" defaultColWidth="11.42578125" defaultRowHeight="15" x14ac:dyDescent="0.25"/>
  <sheetData>
    <row r="5" spans="11:11" ht="16.5" x14ac:dyDescent="0.3">
      <c r="K5" s="34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7A6B-DA77-4A9C-AEEE-E6C3CD0C8C56}">
  <sheetPr codeName="Feuil4">
    <pageSetUpPr fitToPage="1"/>
  </sheetPr>
  <dimension ref="A1:H59"/>
  <sheetViews>
    <sheetView showGridLines="0" zoomScale="70" zoomScaleNormal="70" workbookViewId="0">
      <selection activeCell="A2" sqref="A2:H32"/>
    </sheetView>
  </sheetViews>
  <sheetFormatPr baseColWidth="10" defaultColWidth="11.42578125" defaultRowHeight="17.25" x14ac:dyDescent="0.3"/>
  <cols>
    <col min="1" max="1" width="6.28515625" style="1" bestFit="1" customWidth="1"/>
    <col min="2" max="2" width="75.28515625" style="1" bestFit="1" customWidth="1"/>
    <col min="3" max="3" width="34.8554687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2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53.25" customHeight="1" thickBot="1" x14ac:dyDescent="0.35">
      <c r="A2" s="443" t="s">
        <v>120</v>
      </c>
      <c r="B2" s="444"/>
      <c r="C2" s="444"/>
      <c r="D2" s="444"/>
      <c r="E2" s="444"/>
      <c r="F2" s="444"/>
      <c r="G2" s="444"/>
      <c r="H2" s="445"/>
    </row>
    <row r="3" spans="1:8" ht="36.75" customHeight="1" thickBot="1" x14ac:dyDescent="0.35">
      <c r="A3" s="446" t="s">
        <v>121</v>
      </c>
      <c r="B3" s="295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4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0.04</v>
      </c>
      <c r="F4" s="231">
        <v>0.14000000000000001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4.7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36.75" customHeight="1" thickBot="1" x14ac:dyDescent="0.35">
      <c r="A7" s="446" t="s">
        <v>125</v>
      </c>
      <c r="B7" s="296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4.95" customHeight="1" x14ac:dyDescent="0.3">
      <c r="A8" s="447"/>
      <c r="B8" s="284" t="s">
        <v>126</v>
      </c>
      <c r="C8" s="285" t="str">
        <f>VLOOKUP(B8,Tableau14[],8,FALSE)</f>
        <v>Wio</v>
      </c>
      <c r="D8" s="285">
        <f>VLOOKUP(B8,Tableau14[],14,FALSE)</f>
        <v>33.9</v>
      </c>
      <c r="E8" s="286">
        <v>0.09</v>
      </c>
      <c r="F8" s="287">
        <v>0.13</v>
      </c>
      <c r="G8" s="287" t="str">
        <f>VLOOKUP(B8,Tableau14[],10,FALSE)</f>
        <v>Citronné / Sucré</v>
      </c>
      <c r="H8" s="288" t="str">
        <f>VLOOKUP(B8,Tableau14[],4,FALSE)</f>
        <v>Qc</v>
      </c>
    </row>
    <row r="9" spans="1:8" ht="24.95" customHeight="1" thickBot="1" x14ac:dyDescent="0.35">
      <c r="A9" s="448"/>
      <c r="B9" s="290" t="s">
        <v>128</v>
      </c>
      <c r="C9" s="291" t="str">
        <f>VLOOKUP(B9,Tableau14[],8,FALSE)</f>
        <v>Solei</v>
      </c>
      <c r="D9" s="291">
        <f>VLOOKUP(B9,Tableau14[],14,FALSE)</f>
        <v>27</v>
      </c>
      <c r="E9" s="292">
        <v>0</v>
      </c>
      <c r="F9" s="293">
        <v>0.12</v>
      </c>
      <c r="G9" s="293" t="str">
        <f>VLOOKUP(B9,Tableau14[],10,FALSE)</f>
        <v>Mouffette / Épicé</v>
      </c>
      <c r="H9" s="294" t="str">
        <f>VLOOKUP(B9,Tableau14[],4,FALSE)</f>
        <v>-</v>
      </c>
    </row>
    <row r="10" spans="1:8" ht="13.5" customHeight="1" thickBot="1" x14ac:dyDescent="0.35">
      <c r="A10" s="245"/>
      <c r="B10" s="243"/>
      <c r="C10" s="205"/>
      <c r="D10" s="205"/>
      <c r="E10" s="206"/>
      <c r="F10" s="244"/>
      <c r="G10" s="205"/>
    </row>
    <row r="11" spans="1:8" ht="36.75" customHeight="1" thickBot="1" x14ac:dyDescent="0.35">
      <c r="A11" s="449" t="s">
        <v>129</v>
      </c>
      <c r="B11" s="295" t="s">
        <v>130</v>
      </c>
      <c r="C11" s="182" t="s">
        <v>4</v>
      </c>
      <c r="D11" s="191" t="s">
        <v>6</v>
      </c>
      <c r="E11" s="192" t="s">
        <v>40</v>
      </c>
      <c r="F11" s="226" t="s">
        <v>41</v>
      </c>
      <c r="G11" s="192" t="s">
        <v>122</v>
      </c>
      <c r="H11" s="227" t="s">
        <v>123</v>
      </c>
    </row>
    <row r="12" spans="1:8" ht="24.95" customHeight="1" x14ac:dyDescent="0.3">
      <c r="A12" s="450"/>
      <c r="B12" s="217" t="s">
        <v>131</v>
      </c>
      <c r="C12" s="221" t="str">
        <f>VLOOKUP(B12,Tableau16[],8,FALSE)</f>
        <v>Orchid</v>
      </c>
      <c r="D12" s="218">
        <f>VLOOKUP(B12,Tableau16[],14,FALSE)</f>
        <v>25.6</v>
      </c>
      <c r="E12" s="219">
        <v>0.11</v>
      </c>
      <c r="F12" s="219">
        <v>7.0000000000000007E-2</v>
      </c>
      <c r="G12" s="220" t="str">
        <f>VLOOKUP(B12,Tableau16[],10,FALSE)</f>
        <v>Fruité / Sucré</v>
      </c>
      <c r="H12" s="218" t="str">
        <f>VLOOKUP(B12,Tableau16[],4,FALSE)</f>
        <v>Qc</v>
      </c>
    </row>
    <row r="13" spans="1:8" ht="24.95" customHeight="1" x14ac:dyDescent="0.3">
      <c r="A13" s="450"/>
      <c r="B13" s="217" t="s">
        <v>132</v>
      </c>
      <c r="C13" s="221" t="str">
        <f>VLOOKUP(B13,Tableau16[],8,FALSE)</f>
        <v>Clem &amp; Co</v>
      </c>
      <c r="D13" s="218">
        <f>VLOOKUP(B13,Tableau16[],14,FALSE)</f>
        <v>29.9</v>
      </c>
      <c r="E13" s="219">
        <v>0.11</v>
      </c>
      <c r="F13" s="219">
        <v>0.15</v>
      </c>
      <c r="G13" s="220" t="str">
        <f>VLOOKUP(B13,Tableau16[],10,FALSE)</f>
        <v>Fruité / Floral</v>
      </c>
      <c r="H13" s="218" t="str">
        <f>VLOOKUP(B13,Tableau16[],4,FALSE)</f>
        <v>Qc</v>
      </c>
    </row>
    <row r="14" spans="1:8" ht="24.95" customHeight="1" x14ac:dyDescent="0.3">
      <c r="A14" s="450"/>
      <c r="B14" s="217" t="s">
        <v>133</v>
      </c>
      <c r="C14" s="221" t="str">
        <f>VLOOKUP(B14,Tableau16[],8,FALSE)</f>
        <v>Endo</v>
      </c>
      <c r="D14" s="218">
        <f>VLOOKUP(B14,Tableau16[],14,FALSE)</f>
        <v>29.9</v>
      </c>
      <c r="E14" s="219">
        <v>0.09</v>
      </c>
      <c r="F14" s="219">
        <v>7.0000000000000007E-2</v>
      </c>
      <c r="G14" s="220" t="str">
        <f>VLOOKUP(B14,Tableau16[],10,FALSE)</f>
        <v>Fruité / Citronné</v>
      </c>
      <c r="H14" s="218" t="str">
        <f>VLOOKUP(B14,Tableau16[],4,FALSE)</f>
        <v>Qc</v>
      </c>
    </row>
    <row r="15" spans="1:8" ht="24.95" customHeight="1" x14ac:dyDescent="0.3">
      <c r="A15" s="450"/>
      <c r="B15" s="217" t="s">
        <v>134</v>
      </c>
      <c r="C15" s="221" t="str">
        <f>VLOOKUP(B15,Tableau16[],8,FALSE)</f>
        <v>Simply Bare</v>
      </c>
      <c r="D15" s="218">
        <f>VLOOKUP(B15,Tableau16[],14,FALSE)</f>
        <v>42.8</v>
      </c>
      <c r="E15" s="219">
        <v>0.09</v>
      </c>
      <c r="F15" s="219">
        <v>0.11</v>
      </c>
      <c r="G15" s="220" t="str">
        <f>VLOOKUP(B15,Tableau16[],10,FALSE)</f>
        <v>Terreux / Sucré</v>
      </c>
      <c r="H15" s="218" t="str">
        <f>VLOOKUP(B15,Tableau16[],4,FALSE)</f>
        <v>-</v>
      </c>
    </row>
    <row r="16" spans="1:8" ht="24.95" customHeight="1" x14ac:dyDescent="0.3">
      <c r="A16" s="450"/>
      <c r="B16" s="217" t="s">
        <v>135</v>
      </c>
      <c r="C16" s="221" t="str">
        <f>VLOOKUP(B16,Tableau16[],8,FALSE)</f>
        <v>Vert</v>
      </c>
      <c r="D16" s="218">
        <f>VLOOKUP(B16,Tableau16[],14,FALSE)</f>
        <v>30.6</v>
      </c>
      <c r="E16" s="219">
        <v>0.09</v>
      </c>
      <c r="F16" s="219">
        <v>0.13</v>
      </c>
      <c r="G16" s="220" t="str">
        <f>VLOOKUP(B16,Tableau16[],10,FALSE)</f>
        <v>Mouffette / Diesel</v>
      </c>
      <c r="H16" s="218" t="str">
        <f>VLOOKUP(B16,Tableau16[],4,FALSE)</f>
        <v>Qc</v>
      </c>
    </row>
    <row r="17" spans="1:8" ht="24.95" customHeight="1" x14ac:dyDescent="0.3">
      <c r="A17" s="450"/>
      <c r="B17" s="217" t="s">
        <v>136</v>
      </c>
      <c r="C17" s="221" t="str">
        <f>VLOOKUP(B17,Tableau16[],8,FALSE)</f>
        <v>Promenade</v>
      </c>
      <c r="D17" s="218">
        <f>VLOOKUP(B17,Tableau16[],14,FALSE)</f>
        <v>21.4</v>
      </c>
      <c r="E17" s="219">
        <v>0.08</v>
      </c>
      <c r="F17" s="219">
        <v>0.08</v>
      </c>
      <c r="G17" s="220" t="str">
        <f>VLOOKUP(B17,Tableau16[],10,FALSE)</f>
        <v>Sucré / Terreux</v>
      </c>
      <c r="H17" s="218" t="str">
        <f>VLOOKUP(B17,Tableau16[],4,FALSE)</f>
        <v>-</v>
      </c>
    </row>
    <row r="18" spans="1:8" ht="24.95" customHeight="1" x14ac:dyDescent="0.3">
      <c r="A18" s="450"/>
      <c r="B18" s="217" t="s">
        <v>137</v>
      </c>
      <c r="C18" s="221" t="str">
        <f>VLOOKUP(B18,Tableau16[],8,FALSE)</f>
        <v>Solei</v>
      </c>
      <c r="D18" s="218">
        <f>VLOOKUP(B18,Tableau16[],14,FALSE)</f>
        <v>22.1</v>
      </c>
      <c r="E18" s="219">
        <v>0.08</v>
      </c>
      <c r="F18" s="219">
        <v>0.11</v>
      </c>
      <c r="G18" s="220" t="str">
        <f>VLOOKUP(B18,Tableau16[],10,FALSE)</f>
        <v>Citronné / Épicé</v>
      </c>
      <c r="H18" s="218" t="str">
        <f>VLOOKUP(B18,Tableau16[],4,FALSE)</f>
        <v>-</v>
      </c>
    </row>
    <row r="19" spans="1:8" ht="24.95" customHeight="1" x14ac:dyDescent="0.3">
      <c r="A19" s="450"/>
      <c r="B19" s="217" t="s">
        <v>138</v>
      </c>
      <c r="C19" s="221" t="str">
        <f>VLOOKUP(B19,Tableau16[],8,FALSE)</f>
        <v>Promenade</v>
      </c>
      <c r="D19" s="218">
        <f>VLOOKUP(B19,Tableau16[],14,FALSE)</f>
        <v>19.3</v>
      </c>
      <c r="E19" s="219">
        <v>0.08</v>
      </c>
      <c r="F19" s="219">
        <v>0.11</v>
      </c>
      <c r="G19" s="220" t="str">
        <f>VLOOKUP(B19,Tableau16[],10,FALSE)</f>
        <v>-</v>
      </c>
      <c r="H19" s="218" t="str">
        <f>VLOOKUP(B19,Tableau16[],4,FALSE)</f>
        <v>-</v>
      </c>
    </row>
    <row r="20" spans="1:8" ht="24.95" customHeight="1" x14ac:dyDescent="0.3">
      <c r="A20" s="450"/>
      <c r="B20" s="217" t="s">
        <v>141</v>
      </c>
      <c r="C20" s="221" t="str">
        <f>VLOOKUP(B20,Tableau16[],8,FALSE)</f>
        <v>Color Cannabis</v>
      </c>
      <c r="D20" s="218">
        <f>VLOOKUP(B20,Tableau16[],14,FALSE)</f>
        <v>29.7</v>
      </c>
      <c r="E20" s="219">
        <v>0.08</v>
      </c>
      <c r="F20" s="219">
        <v>0.13</v>
      </c>
      <c r="G20" s="220" t="str">
        <f>VLOOKUP(B20,Tableau16[],10,FALSE)</f>
        <v>Floral / Fruité</v>
      </c>
      <c r="H20" s="218" t="str">
        <f>VLOOKUP(B20,Tableau16[],4,FALSE)</f>
        <v>-</v>
      </c>
    </row>
    <row r="21" spans="1:8" ht="24.95" customHeight="1" x14ac:dyDescent="0.3">
      <c r="A21" s="450"/>
      <c r="B21" s="217" t="s">
        <v>139</v>
      </c>
      <c r="C21" s="221" t="str">
        <f>VLOOKUP(B21,Tableau16[],8,FALSE)</f>
        <v>Twd.</v>
      </c>
      <c r="D21" s="218">
        <f>VLOOKUP(B21,Tableau16[],14,FALSE)</f>
        <v>21.2</v>
      </c>
      <c r="E21" s="219">
        <v>7.0000000000000007E-2</v>
      </c>
      <c r="F21" s="219">
        <v>0.06</v>
      </c>
      <c r="G21" s="220" t="str">
        <f>VLOOKUP(B21,Tableau16[],10,FALSE)</f>
        <v>-</v>
      </c>
      <c r="H21" s="218" t="str">
        <f>VLOOKUP(B21,Tableau16[],4,FALSE)</f>
        <v>-</v>
      </c>
    </row>
    <row r="22" spans="1:8" ht="24.95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7.0000000000000007E-2</v>
      </c>
      <c r="F22" s="219">
        <v>0.1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.95" customHeight="1" x14ac:dyDescent="0.3">
      <c r="A23" s="450"/>
      <c r="B23" s="217" t="s">
        <v>142</v>
      </c>
      <c r="C23" s="221" t="str">
        <f>VLOOKUP(B23,Tableau16[],8,FALSE)</f>
        <v>5 Points Cannabis</v>
      </c>
      <c r="D23" s="218">
        <f>VLOOKUP(B23,Tableau16[],14,FALSE)</f>
        <v>27.6</v>
      </c>
      <c r="E23" s="219">
        <v>0.06</v>
      </c>
      <c r="F23" s="219">
        <v>0.08</v>
      </c>
      <c r="G23" s="220" t="str">
        <f>VLOOKUP(B23,Tableau16[],10,FALSE)</f>
        <v>Fruité / Citronné</v>
      </c>
      <c r="H23" s="218" t="str">
        <f>VLOOKUP(B23,Tableau16[],4,FALSE)</f>
        <v>Qc</v>
      </c>
    </row>
    <row r="24" spans="1:8" ht="24.95" customHeight="1" x14ac:dyDescent="0.3">
      <c r="A24" s="450"/>
      <c r="B24" s="217" t="s">
        <v>143</v>
      </c>
      <c r="C24" s="221" t="str">
        <f>VLOOKUP(B24,Tableau16[],8,FALSE)</f>
        <v>Bud Lafleur</v>
      </c>
      <c r="D24" s="218">
        <f>VLOOKUP(B24,Tableau16[],14,FALSE)</f>
        <v>27</v>
      </c>
      <c r="E24" s="219">
        <v>0.04</v>
      </c>
      <c r="F24" s="219">
        <v>0.06</v>
      </c>
      <c r="G24" s="220" t="str">
        <f>VLOOKUP(B24,Tableau16[],10,FALSE)</f>
        <v>Fruité / Sucré</v>
      </c>
      <c r="H24" s="218" t="str">
        <f>VLOOKUP(B24,Tableau16[],4,FALSE)</f>
        <v>Qc</v>
      </c>
    </row>
    <row r="25" spans="1:8" ht="24.95" customHeight="1" x14ac:dyDescent="0.3">
      <c r="A25" s="450"/>
      <c r="B25" s="217" t="s">
        <v>144</v>
      </c>
      <c r="C25" s="221" t="str">
        <f>VLOOKUP(B25,Tableau16[],8,FALSE)</f>
        <v>Promenade</v>
      </c>
      <c r="D25" s="218">
        <f>VLOOKUP(B25,Tableau16[],14,FALSE)</f>
        <v>21.4</v>
      </c>
      <c r="E25" s="306">
        <v>8.9999999999999993E-3</v>
      </c>
      <c r="F25" s="219">
        <v>0.16</v>
      </c>
      <c r="G25" s="220" t="str">
        <f>VLOOKUP(B25,Tableau16[],10,FALSE)</f>
        <v>Fruité / Floral</v>
      </c>
      <c r="H25" s="218" t="str">
        <f>VLOOKUP(B25,Tableau16[],4,FALSE)</f>
        <v>-</v>
      </c>
    </row>
    <row r="26" spans="1:8" ht="24.95" customHeight="1" x14ac:dyDescent="0.3">
      <c r="A26" s="450"/>
      <c r="B26" s="217" t="s">
        <v>145</v>
      </c>
      <c r="C26" s="221" t="str">
        <f>VLOOKUP(B26,Tableau16[],8,FALSE)</f>
        <v>Canna Farms</v>
      </c>
      <c r="D26" s="218">
        <f>VLOOKUP(B26,Tableau16[],14,FALSE)</f>
        <v>30.6</v>
      </c>
      <c r="E26" s="306">
        <v>7.0000000000000001E-3</v>
      </c>
      <c r="F26" s="219">
        <v>0.17</v>
      </c>
      <c r="G26" s="220" t="str">
        <f>VLOOKUP(B26,Tableau16[],10,FALSE)</f>
        <v>Fruité / Boisé</v>
      </c>
      <c r="H26" s="218" t="str">
        <f>VLOOKUP(B26,Tableau16[],4,FALSE)</f>
        <v>-</v>
      </c>
    </row>
    <row r="27" spans="1:8" ht="24.95" customHeight="1" x14ac:dyDescent="0.3">
      <c r="A27" s="450"/>
      <c r="B27" s="217" t="s">
        <v>146</v>
      </c>
      <c r="C27" s="221" t="str">
        <f>VLOOKUP(B27,Tableau16[],8,FALSE)</f>
        <v>Cannabiomedic</v>
      </c>
      <c r="D27" s="218">
        <f>VLOOKUP(B27,Tableau16[],14,FALSE)</f>
        <v>27.6</v>
      </c>
      <c r="E27" s="306">
        <v>6.0000000000000001E-3</v>
      </c>
      <c r="F27" s="219">
        <v>0.14000000000000001</v>
      </c>
      <c r="G27" s="220" t="str">
        <f>VLOOKUP(B27,Tableau16[],10,FALSE)</f>
        <v>-</v>
      </c>
      <c r="H27" s="218" t="str">
        <f>VLOOKUP(B27,Tableau16[],4,FALSE)</f>
        <v>Qc</v>
      </c>
    </row>
    <row r="28" spans="1:8" ht="24.95" customHeight="1" x14ac:dyDescent="0.3">
      <c r="A28" s="450"/>
      <c r="B28" s="217" t="s">
        <v>147</v>
      </c>
      <c r="C28" s="221" t="str">
        <f>VLOOKUP(B28,Tableau16[],8,FALSE)</f>
        <v>XK</v>
      </c>
      <c r="D28" s="218">
        <f>VLOOKUP(B28,Tableau16[],14,FALSE)</f>
        <v>27</v>
      </c>
      <c r="E28" s="306">
        <v>6.0000000000000001E-3</v>
      </c>
      <c r="F28" s="219">
        <v>0.17</v>
      </c>
      <c r="G28" s="220" t="str">
        <f>VLOOKUP(B28,Tableau16[],10,FALSE)</f>
        <v>Terreux / Citronné</v>
      </c>
      <c r="H28" s="218" t="str">
        <f>VLOOKUP(B28,Tableau16[],4,FALSE)</f>
        <v>-</v>
      </c>
    </row>
    <row r="29" spans="1:8" ht="24.95" customHeight="1" x14ac:dyDescent="0.3">
      <c r="A29" s="450"/>
      <c r="B29" s="217" t="s">
        <v>148</v>
      </c>
      <c r="C29" s="221" t="str">
        <f>VLOOKUP(B29,Tableau16[],8,FALSE)</f>
        <v>T'es Dans L'Champ</v>
      </c>
      <c r="D29" s="218">
        <f>VLOOKUP(B29,Tableau16[],14,FALSE)</f>
        <v>19.899999999999999</v>
      </c>
      <c r="E29" s="306">
        <v>5.0000000000000001E-3</v>
      </c>
      <c r="F29" s="219">
        <v>0.18</v>
      </c>
      <c r="G29" s="220" t="str">
        <f>VLOOKUP(B29,Tableau16[],10,FALSE)</f>
        <v>-</v>
      </c>
      <c r="H29" s="218" t="str">
        <f>VLOOKUP(B29,Tableau16[],4,FALSE)</f>
        <v>Qc</v>
      </c>
    </row>
    <row r="30" spans="1:8" ht="24.95" customHeight="1" x14ac:dyDescent="0.3">
      <c r="A30" s="450"/>
      <c r="B30" s="217" t="s">
        <v>149</v>
      </c>
      <c r="C30" s="221" t="str">
        <f>VLOOKUP(B30,Tableau16[],8,FALSE)</f>
        <v>Équilibre</v>
      </c>
      <c r="D30" s="218">
        <f>VLOOKUP(B30,Tableau16[],14,FALSE)</f>
        <v>22.3</v>
      </c>
      <c r="E30" s="306">
        <v>4.0000000000000001E-3</v>
      </c>
      <c r="F30" s="219">
        <v>0.11</v>
      </c>
      <c r="G30" s="220" t="str">
        <f>VLOOKUP(B30,Tableau16[],10,FALSE)</f>
        <v>-</v>
      </c>
      <c r="H30" s="218" t="str">
        <f>VLOOKUP(B30,Tableau16[],4,FALSE)</f>
        <v>Qc</v>
      </c>
    </row>
    <row r="31" spans="1:8" ht="24.95" customHeight="1" x14ac:dyDescent="0.3">
      <c r="A31" s="450"/>
      <c r="B31" s="217" t="s">
        <v>150</v>
      </c>
      <c r="C31" s="221" t="str">
        <f>VLOOKUP(B31,Tableau16[],8,FALSE)</f>
        <v>Lunaire</v>
      </c>
      <c r="D31" s="218">
        <f>VLOOKUP(B31,Tableau16[],14,FALSE)</f>
        <v>25.8</v>
      </c>
      <c r="E31" s="306">
        <v>4.0000000000000001E-3</v>
      </c>
      <c r="F31" s="219">
        <v>0.14000000000000001</v>
      </c>
      <c r="G31" s="220" t="str">
        <f>VLOOKUP(B31,Tableau16[],10,FALSE)</f>
        <v>Floral / Fruité</v>
      </c>
      <c r="H31" s="218" t="str">
        <f>VLOOKUP(B31,Tableau16[],4,FALSE)</f>
        <v>Qc</v>
      </c>
    </row>
    <row r="32" spans="1:8" ht="24.95" customHeight="1" thickBot="1" x14ac:dyDescent="0.35">
      <c r="A32" s="451"/>
      <c r="B32" s="256" t="s">
        <v>151</v>
      </c>
      <c r="C32" s="257" t="str">
        <f>VLOOKUP(B32,Tableau16[],8,FALSE)</f>
        <v>De La Ferme</v>
      </c>
      <c r="D32" s="258">
        <f>VLOOKUP(B32,Tableau16[],14,FALSE)</f>
        <v>17.3</v>
      </c>
      <c r="E32" s="307">
        <v>3.0000000000000001E-3</v>
      </c>
      <c r="F32" s="259">
        <v>0.1</v>
      </c>
      <c r="G32" s="260" t="str">
        <f>VLOOKUP(B32,Tableau16[],10,FALSE)</f>
        <v>Épicé / FLoral</v>
      </c>
      <c r="H32" s="258" t="str">
        <f>VLOOKUP(B32,Tableau16[],4,FALSE)</f>
        <v>Qc</v>
      </c>
    </row>
    <row r="33" spans="1:7" ht="9.75" customHeight="1" x14ac:dyDescent="0.3">
      <c r="A33" s="183"/>
      <c r="B33" s="170"/>
      <c r="C33" s="169"/>
      <c r="D33" s="171"/>
      <c r="E33" s="172"/>
      <c r="F33" s="172"/>
      <c r="G33" s="169"/>
    </row>
    <row r="34" spans="1:7" ht="19.5" customHeight="1" x14ac:dyDescent="0.3">
      <c r="A34" s="169"/>
      <c r="B34" s="170"/>
      <c r="C34" s="169"/>
      <c r="D34" s="171"/>
      <c r="E34" s="172"/>
      <c r="F34" s="172"/>
      <c r="G34" s="169"/>
    </row>
    <row r="35" spans="1:7" ht="19.5" customHeight="1" x14ac:dyDescent="0.3">
      <c r="A35" s="169"/>
      <c r="B35" s="170"/>
      <c r="C35" s="169"/>
      <c r="D35" s="171"/>
      <c r="E35" s="172"/>
      <c r="F35" s="172"/>
      <c r="G35" s="169"/>
    </row>
    <row r="36" spans="1:7" ht="19.5" customHeight="1" x14ac:dyDescent="0.3">
      <c r="A36" s="169"/>
      <c r="B36" s="170"/>
      <c r="C36" s="169"/>
      <c r="D36" s="171"/>
      <c r="E36" s="172"/>
      <c r="F36" s="172"/>
      <c r="G36" s="169"/>
    </row>
    <row r="37" spans="1:7" ht="19.5" customHeight="1" x14ac:dyDescent="0.3">
      <c r="A37" s="169"/>
      <c r="B37" s="170"/>
      <c r="C37" s="169"/>
      <c r="D37" s="171"/>
      <c r="E37" s="172"/>
      <c r="F37" s="172"/>
      <c r="G37" s="169"/>
    </row>
    <row r="38" spans="1:7" ht="19.5" customHeight="1" x14ac:dyDescent="0.3">
      <c r="A38" s="169"/>
      <c r="B38" s="9"/>
      <c r="C38" s="173"/>
      <c r="D38" s="174"/>
      <c r="E38" s="184"/>
      <c r="F38" s="8"/>
      <c r="G38" s="8"/>
    </row>
    <row r="39" spans="1:7" ht="8.25" customHeight="1" x14ac:dyDescent="0.3">
      <c r="A39" s="4"/>
      <c r="B39" s="61"/>
      <c r="C39" s="61"/>
      <c r="D39" s="61"/>
      <c r="E39" s="61"/>
      <c r="F39" s="61"/>
      <c r="G39" s="61"/>
    </row>
    <row r="40" spans="1:7" ht="39" customHeight="1" x14ac:dyDescent="0.3">
      <c r="A40" s="61"/>
      <c r="B40" s="176"/>
      <c r="C40" s="176"/>
      <c r="D40" s="177"/>
      <c r="E40" s="11"/>
      <c r="F40" s="11"/>
      <c r="G40" s="177"/>
    </row>
    <row r="41" spans="1:7" ht="19.5" customHeight="1" x14ac:dyDescent="0.3">
      <c r="A41" s="175"/>
      <c r="B41" s="170"/>
      <c r="C41" s="170"/>
      <c r="D41" s="171"/>
      <c r="E41" s="179"/>
      <c r="F41" s="172"/>
      <c r="G41" s="169"/>
    </row>
    <row r="42" spans="1:7" ht="19.5" customHeight="1" x14ac:dyDescent="0.3">
      <c r="A42" s="169"/>
      <c r="B42" s="170"/>
      <c r="C42" s="169"/>
      <c r="D42" s="171"/>
      <c r="E42" s="179"/>
      <c r="F42" s="172"/>
      <c r="G42" s="169"/>
    </row>
    <row r="43" spans="1:7" ht="19.5" customHeight="1" x14ac:dyDescent="0.3">
      <c r="A43" s="169"/>
      <c r="B43" s="170"/>
      <c r="C43" s="170"/>
      <c r="D43" s="171"/>
      <c r="E43" s="179"/>
      <c r="F43" s="172"/>
      <c r="G43" s="169"/>
    </row>
    <row r="44" spans="1:7" ht="19.5" customHeight="1" x14ac:dyDescent="0.3">
      <c r="A44" s="169"/>
      <c r="B44" s="170"/>
      <c r="C44" s="170"/>
      <c r="D44" s="171"/>
      <c r="E44" s="179"/>
      <c r="F44" s="172"/>
      <c r="G44" s="169"/>
    </row>
    <row r="45" spans="1:7" ht="19.5" customHeight="1" x14ac:dyDescent="0.3">
      <c r="A45" s="169"/>
      <c r="B45" s="4"/>
      <c r="C45" s="4"/>
      <c r="D45" s="167"/>
      <c r="E45" s="185"/>
      <c r="F45" s="198"/>
      <c r="G45" s="4"/>
    </row>
    <row r="46" spans="1:7" ht="33.75" x14ac:dyDescent="0.3">
      <c r="A46" s="169"/>
      <c r="B46" s="61"/>
      <c r="C46" s="61"/>
      <c r="D46" s="61"/>
      <c r="E46" s="61"/>
      <c r="F46" s="61"/>
      <c r="G46" s="61"/>
    </row>
    <row r="47" spans="1:7" ht="39.75" customHeight="1" x14ac:dyDescent="0.3">
      <c r="A47" s="61"/>
      <c r="B47" s="176"/>
      <c r="C47" s="176"/>
      <c r="D47" s="178"/>
      <c r="E47" s="11"/>
      <c r="F47" s="11"/>
      <c r="G47" s="177"/>
    </row>
    <row r="48" spans="1:7" x14ac:dyDescent="0.3">
      <c r="A48" s="175"/>
      <c r="B48" s="170"/>
      <c r="C48" s="170"/>
      <c r="D48" s="171"/>
      <c r="E48" s="186"/>
      <c r="F48" s="186"/>
      <c r="G48" s="171"/>
    </row>
    <row r="49" spans="1:7" x14ac:dyDescent="0.3">
      <c r="A49" s="169"/>
      <c r="B49" s="170"/>
      <c r="C49" s="170"/>
      <c r="D49" s="180"/>
      <c r="E49" s="179"/>
      <c r="F49" s="172"/>
      <c r="G49" s="171"/>
    </row>
    <row r="50" spans="1:7" x14ac:dyDescent="0.3">
      <c r="A50" s="169"/>
      <c r="B50" s="170"/>
      <c r="C50" s="169"/>
      <c r="D50" s="171"/>
      <c r="E50" s="179"/>
      <c r="F50" s="172"/>
      <c r="G50" s="171"/>
    </row>
    <row r="51" spans="1:7" x14ac:dyDescent="0.3">
      <c r="A51" s="169"/>
      <c r="B51" s="170"/>
      <c r="C51" s="170"/>
      <c r="D51" s="171"/>
      <c r="E51" s="179"/>
      <c r="F51" s="172"/>
      <c r="G51" s="171"/>
    </row>
    <row r="52" spans="1:7" x14ac:dyDescent="0.3">
      <c r="A52" s="169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4"/>
      <c r="D53" s="167"/>
      <c r="E53" s="185"/>
      <c r="F53" s="198"/>
      <c r="G53" s="4"/>
    </row>
    <row r="54" spans="1:7" x14ac:dyDescent="0.3">
      <c r="A54" s="4"/>
      <c r="B54" s="4"/>
      <c r="C54" s="4"/>
      <c r="D54" s="167"/>
      <c r="E54" s="185"/>
      <c r="F54" s="198"/>
      <c r="G54" s="4"/>
    </row>
    <row r="55" spans="1:7" x14ac:dyDescent="0.3">
      <c r="A55" s="4"/>
      <c r="B55" s="4"/>
      <c r="C55" s="4"/>
      <c r="D55" s="167"/>
      <c r="E55" s="185"/>
      <c r="F55" s="198"/>
      <c r="G55" s="4"/>
    </row>
    <row r="56" spans="1:7" x14ac:dyDescent="0.3">
      <c r="A56" s="4"/>
      <c r="B56" s="4"/>
      <c r="C56" s="4"/>
      <c r="D56" s="167"/>
      <c r="E56" s="185"/>
      <c r="F56" s="198"/>
      <c r="G56" s="4"/>
    </row>
    <row r="57" spans="1:7" x14ac:dyDescent="0.3">
      <c r="A57" s="4"/>
      <c r="B57" s="4"/>
      <c r="C57" s="4"/>
      <c r="D57" s="167"/>
      <c r="E57" s="185"/>
      <c r="F57" s="198"/>
      <c r="G57" s="4"/>
    </row>
    <row r="58" spans="1:7" x14ac:dyDescent="0.3">
      <c r="A58" s="4"/>
      <c r="B58" s="4"/>
      <c r="C58" s="6"/>
      <c r="D58" s="166"/>
      <c r="E58" s="181"/>
      <c r="F58" s="181"/>
      <c r="G58" s="5"/>
    </row>
    <row r="59" spans="1:7" x14ac:dyDescent="0.3">
      <c r="A59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9"/>
    <mergeCell ref="A11:A32"/>
  </mergeCells>
  <phoneticPr fontId="29" type="noConversion"/>
  <conditionalFormatting sqref="C58:C1048576 C1">
    <cfRule type="cellIs" dxfId="21" priority="3" operator="equal">
      <formula>0</formula>
    </cfRule>
  </conditionalFormatting>
  <dataValidations count="2">
    <dataValidation type="list" allowBlank="1" showInputMessage="1" showErrorMessage="1" sqref="B1:C1" xr:uid="{00000000-0002-0000-0100-000003000000}">
      <formula1>hybride1</formula1>
    </dataValidation>
    <dataValidation type="list" allowBlank="1" showInputMessage="1" showErrorMessage="1" sqref="C42:C44 C48:C51" xr:uid="{862392C3-D57E-43DD-AAA6-D2C8397AD78B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paperSize="5" scale="63" orientation="landscape" cellComments="atEnd" r:id="rId1"/>
  <headerFooter differentOddEven="1">
    <oddFooter>&amp;R&amp;D</oddFooter>
  </headerFooter>
  <colBreaks count="1" manualBreakCount="1">
    <brk id="7" max="1048575" man="1"/>
  </colBreaks>
  <ignoredErrors>
    <ignoredError sqref="A1:G1 H7 H3 A3:F3 A6:F6 G6 A33 B7:F7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" r:id="rId4" name="Bouton 2">
              <controlPr defaultSize="0" print="0" autoFill="0" autoPict="0" macro="[0]!tri_77004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" name="Button 5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" name="Button 76">
              <controlPr defaultSize="0" print="0" autoFill="0" autoPict="0" macro="[0]!imp_77004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EA91A9CA-253D-46C6-AB88-709A53FDE67A}">
          <x14:formula1>
            <xm:f>'Base données formats'!$A$21:$A$69</xm:f>
          </x14:formula1>
          <xm:sqref>B12:B32</xm:sqref>
        </x14:dataValidation>
        <x14:dataValidation type="list" allowBlank="1" showInputMessage="1" showErrorMessage="1" xr:uid="{235240DE-BBCB-477D-A9BD-BD60136BF31B}">
          <x14:formula1>
            <xm:f>'Base données formats'!$A$4:$A$12</xm:f>
          </x14:formula1>
          <xm:sqref>B8:B10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833CE-5746-4880-A7A3-2B5EC6F810FA}">
  <sheetPr codeName="Feuil7">
    <pageSetUpPr fitToPage="1"/>
  </sheetPr>
  <dimension ref="A1:H54"/>
  <sheetViews>
    <sheetView showGridLines="0" zoomScale="70" zoomScaleNormal="70" workbookViewId="0">
      <selection activeCell="B18" sqref="B18"/>
    </sheetView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1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1" customHeight="1" x14ac:dyDescent="0.3">
      <c r="A13" s="450"/>
      <c r="B13" s="217" t="s">
        <v>135</v>
      </c>
      <c r="C13" s="246" t="str">
        <f>VLOOKUP(B13,Tableau16[],8,FALSE)</f>
        <v>Vert</v>
      </c>
      <c r="D13" s="218">
        <f>VLOOKUP(B13,Tableau16[],14,FALSE)</f>
        <v>30.6</v>
      </c>
      <c r="E13" s="219">
        <v>0.11</v>
      </c>
      <c r="F13" s="219">
        <v>0.11</v>
      </c>
      <c r="G13" s="220" t="str">
        <f>VLOOKUP(B13,Tableau16[],10,FALSE)</f>
        <v>Mouffette / Diesel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0.1</v>
      </c>
      <c r="F14" s="219">
        <v>0.13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142</v>
      </c>
      <c r="C16" s="221" t="str">
        <f>VLOOKUP(B16,Tableau16[],8,FALSE)</f>
        <v>5 Points Cannabis</v>
      </c>
      <c r="D16" s="218">
        <f>VLOOKUP(B16,Tableau16[],14,FALSE)</f>
        <v>27.6</v>
      </c>
      <c r="E16" s="219">
        <v>0.09</v>
      </c>
      <c r="F16" s="219">
        <v>0.11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137</v>
      </c>
      <c r="C17" s="221" t="str">
        <f>VLOOKUP(B17,Tableau16[],8,FALSE)</f>
        <v>Solei</v>
      </c>
      <c r="D17" s="218">
        <f>VLOOKUP(B17,Tableau16[],14,FALSE)</f>
        <v>22.1</v>
      </c>
      <c r="E17" s="219">
        <v>0.08</v>
      </c>
      <c r="F17" s="219">
        <v>0.1</v>
      </c>
      <c r="G17" s="220" t="str">
        <f>VLOOKUP(B17,Tableau16[],10,FALSE)</f>
        <v>Citronné / Épicé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131</v>
      </c>
      <c r="C18" s="221" t="str">
        <f>VLOOKUP(B18,Tableau16[],8,FALSE)</f>
        <v>Orchid</v>
      </c>
      <c r="D18" s="218">
        <f>VLOOKUP(B18,Tableau16[],14,FALSE)</f>
        <v>25.6</v>
      </c>
      <c r="E18" s="219">
        <v>0.08</v>
      </c>
      <c r="F18" s="219">
        <v>0.11</v>
      </c>
      <c r="G18" s="220" t="str">
        <f>VLOOKUP(B18,Tableau16[],10,FALSE)</f>
        <v>Fruité / Sucré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7.0000000000000007E-2</v>
      </c>
      <c r="F20" s="219">
        <v>0.06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153</v>
      </c>
      <c r="C21" s="221" t="str">
        <f>VLOOKUP(B21,Tableau16[],8,FALSE)</f>
        <v>Fuga</v>
      </c>
      <c r="D21" s="218">
        <f>VLOOKUP(B21,Tableau16[],14,FALSE)</f>
        <v>26</v>
      </c>
      <c r="E21" s="219">
        <v>0.06</v>
      </c>
      <c r="F21" s="219">
        <v>7.0000000000000007E-2</v>
      </c>
      <c r="G21" s="220" t="str">
        <f>VLOOKUP(B21,Tableau16[],10,FALSE)</f>
        <v>-</v>
      </c>
      <c r="H21" s="218" t="str">
        <f>VLOOKUP(B21,Tableau16[],4,FALSE)</f>
        <v>Qc</v>
      </c>
    </row>
    <row r="22" spans="1:8" ht="24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0.06</v>
      </c>
      <c r="F22" s="219">
        <v>0.09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154</v>
      </c>
      <c r="C23" s="221" t="str">
        <f>VLOOKUP(B23,Tableau16[],8,FALSE)</f>
        <v>Canna Farms</v>
      </c>
      <c r="D23" s="218">
        <f>VLOOKUP(B23,Tableau16[],14,FALSE)</f>
        <v>30.6</v>
      </c>
      <c r="E23" s="219">
        <v>0.06</v>
      </c>
      <c r="F23" s="219">
        <v>0.1</v>
      </c>
      <c r="G23" s="220" t="str">
        <f>VLOOKUP(B23,Tableau16[],10,FALSE)</f>
        <v>Fruité / Boisé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155</v>
      </c>
      <c r="C24" s="221" t="str">
        <f>VLOOKUP(B24,Tableau16[],8,FALSE)</f>
        <v>Color Cannabis</v>
      </c>
      <c r="D24" s="218">
        <f>VLOOKUP(B24,Tableau16[],14,FALSE)</f>
        <v>29.7</v>
      </c>
      <c r="E24" s="219">
        <v>0</v>
      </c>
      <c r="F24" s="219">
        <v>0.08</v>
      </c>
      <c r="G24" s="220" t="str">
        <f>VLOOKUP(B24,Tableau16[],10,FALSE)</f>
        <v>Boisé / Épicé</v>
      </c>
      <c r="H24" s="218" t="str">
        <f>VLOOKUP(B24,Tableau16[],4,FALSE)</f>
        <v>-</v>
      </c>
    </row>
    <row r="25" spans="1:8" ht="24" customHeight="1" x14ac:dyDescent="0.3">
      <c r="A25" s="450"/>
      <c r="B25" s="217" t="s">
        <v>151</v>
      </c>
      <c r="C25" s="221" t="str">
        <f>VLOOKUP(B25,Tableau16[],8,FALSE)</f>
        <v>De La Ferme</v>
      </c>
      <c r="D25" s="218">
        <f>VLOOKUP(B25,Tableau16[],14,FALSE)</f>
        <v>17.3</v>
      </c>
      <c r="E25" s="219">
        <v>0</v>
      </c>
      <c r="F25" s="219">
        <v>0.12</v>
      </c>
      <c r="G25" s="220" t="str">
        <f>VLOOKUP(B25,Tableau16[],10,FALSE)</f>
        <v>Épicé / FLoral</v>
      </c>
      <c r="H25" s="218" t="str">
        <f>VLOOKUP(B25,Tableau16[],4,FALSE)</f>
        <v>Qc</v>
      </c>
    </row>
    <row r="26" spans="1:8" ht="24" customHeight="1" x14ac:dyDescent="0.3">
      <c r="A26" s="450"/>
      <c r="B26" s="217" t="s">
        <v>156</v>
      </c>
      <c r="C26" s="221" t="str">
        <f>VLOOKUP(B26,Tableau16[],8,FALSE)</f>
        <v>Vert</v>
      </c>
      <c r="D26" s="218">
        <f>VLOOKUP(B26,Tableau16[],14,FALSE)</f>
        <v>30.6</v>
      </c>
      <c r="E26" s="219">
        <v>0</v>
      </c>
      <c r="F26" s="219">
        <v>0.12</v>
      </c>
      <c r="G26" s="220" t="str">
        <f>VLOOKUP(B26,Tableau16[],10,FALSE)</f>
        <v>Boisé / Terreux</v>
      </c>
      <c r="H26" s="218" t="str">
        <f>VLOOKUP(B26,Tableau16[],4,FALSE)</f>
        <v>Qc</v>
      </c>
    </row>
    <row r="27" spans="1:8" ht="24" customHeight="1" thickBot="1" x14ac:dyDescent="0.35">
      <c r="A27" s="451"/>
      <c r="B27" s="256" t="s">
        <v>145</v>
      </c>
      <c r="C27" s="257" t="str">
        <f>VLOOKUP(B27,Tableau16[],8,FALSE)</f>
        <v>Canna Farms</v>
      </c>
      <c r="D27" s="258">
        <f>VLOOKUP(B27,Tableau16[],14,FALSE)</f>
        <v>30.6</v>
      </c>
      <c r="E27" s="259">
        <v>0</v>
      </c>
      <c r="F27" s="259">
        <v>0.17</v>
      </c>
      <c r="G27" s="260" t="str">
        <f>VLOOKUP(B27,Tableau16[],10,FALSE)</f>
        <v>Fruité / Boisé</v>
      </c>
      <c r="H27" s="258" t="str">
        <f>VLOOKUP(B27,Tableau16[],4,FALSE)</f>
        <v>-</v>
      </c>
    </row>
    <row r="28" spans="1:8" ht="9.75" customHeight="1" x14ac:dyDescent="0.3">
      <c r="A28" s="183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9"/>
      <c r="C33" s="173"/>
      <c r="D33" s="174"/>
      <c r="E33" s="184"/>
      <c r="F33" s="8"/>
      <c r="G33" s="8"/>
    </row>
    <row r="34" spans="1:7" ht="8.25" customHeight="1" x14ac:dyDescent="0.3">
      <c r="A34" s="4"/>
      <c r="B34" s="61"/>
      <c r="C34" s="61"/>
      <c r="D34" s="61"/>
      <c r="E34" s="61"/>
      <c r="F34" s="61"/>
      <c r="G34" s="61"/>
    </row>
    <row r="35" spans="1:7" ht="39" customHeight="1" x14ac:dyDescent="0.3">
      <c r="A35" s="61"/>
      <c r="B35" s="176"/>
      <c r="C35" s="176"/>
      <c r="D35" s="177"/>
      <c r="E35" s="11"/>
      <c r="F35" s="11"/>
      <c r="G35" s="177"/>
    </row>
    <row r="36" spans="1:7" ht="19.5" customHeight="1" x14ac:dyDescent="0.3">
      <c r="A36" s="175"/>
      <c r="B36" s="170"/>
      <c r="C36" s="170"/>
      <c r="D36" s="171"/>
      <c r="E36" s="179"/>
      <c r="F36" s="172"/>
      <c r="G36" s="169"/>
    </row>
    <row r="37" spans="1:7" ht="19.5" customHeight="1" x14ac:dyDescent="0.3">
      <c r="A37" s="169"/>
      <c r="B37" s="170"/>
      <c r="C37" s="169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70"/>
      <c r="D39" s="171"/>
      <c r="E39" s="179"/>
      <c r="F39" s="172"/>
      <c r="G39" s="169"/>
    </row>
    <row r="40" spans="1:7" ht="19.5" customHeight="1" x14ac:dyDescent="0.3">
      <c r="A40" s="169"/>
      <c r="B40" s="4"/>
      <c r="C40" s="4"/>
      <c r="D40" s="167"/>
      <c r="E40" s="185"/>
      <c r="F40" s="198"/>
      <c r="G40" s="4"/>
    </row>
    <row r="41" spans="1:7" ht="33.75" x14ac:dyDescent="0.3">
      <c r="A41" s="169"/>
      <c r="B41" s="61"/>
      <c r="C41" s="61"/>
      <c r="D41" s="61"/>
      <c r="E41" s="61"/>
      <c r="F41" s="61"/>
      <c r="G41" s="61"/>
    </row>
    <row r="42" spans="1:7" ht="39.75" customHeight="1" x14ac:dyDescent="0.3">
      <c r="A42" s="61"/>
      <c r="B42" s="176"/>
      <c r="C42" s="176"/>
      <c r="D42" s="178"/>
      <c r="E42" s="11"/>
      <c r="F42" s="11"/>
      <c r="G42" s="177"/>
    </row>
    <row r="43" spans="1:7" x14ac:dyDescent="0.3">
      <c r="A43" s="175"/>
      <c r="B43" s="170"/>
      <c r="C43" s="170"/>
      <c r="D43" s="171"/>
      <c r="E43" s="186"/>
      <c r="F43" s="186"/>
      <c r="G43" s="171"/>
    </row>
    <row r="44" spans="1:7" x14ac:dyDescent="0.3">
      <c r="A44" s="169"/>
      <c r="B44" s="170"/>
      <c r="C44" s="170"/>
      <c r="D44" s="180"/>
      <c r="E44" s="179"/>
      <c r="F44" s="172"/>
      <c r="G44" s="171"/>
    </row>
    <row r="45" spans="1:7" x14ac:dyDescent="0.3">
      <c r="A45" s="169"/>
      <c r="B45" s="170"/>
      <c r="C45" s="169"/>
      <c r="D45" s="171"/>
      <c r="E45" s="179"/>
      <c r="F45" s="172"/>
      <c r="G45" s="171"/>
    </row>
    <row r="46" spans="1:7" x14ac:dyDescent="0.3">
      <c r="A46" s="169"/>
      <c r="B46" s="170"/>
      <c r="C46" s="170"/>
      <c r="D46" s="171"/>
      <c r="E46" s="179"/>
      <c r="F46" s="172"/>
      <c r="G46" s="171"/>
    </row>
    <row r="47" spans="1:7" x14ac:dyDescent="0.3">
      <c r="A47" s="169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6"/>
      <c r="D53" s="166"/>
      <c r="E53" s="181"/>
      <c r="F53" s="181"/>
      <c r="G53" s="5"/>
    </row>
    <row r="54" spans="1:7" x14ac:dyDescent="0.3">
      <c r="A5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7"/>
  </mergeCells>
  <conditionalFormatting sqref="C53:C1048576 C1">
    <cfRule type="cellIs" dxfId="20" priority="1" operator="equal">
      <formula>0</formula>
    </cfRule>
  </conditionalFormatting>
  <dataValidations count="2">
    <dataValidation type="list" allowBlank="1" showInputMessage="1" showErrorMessage="1" sqref="C37:C39 C43:C46" xr:uid="{8B4EB4B9-403D-4E5D-83B4-9072201946C8}">
      <formula1>#REF!</formula1>
    </dataValidation>
    <dataValidation type="list" allowBlank="1" showInputMessage="1" showErrorMessage="1" sqref="B1:C1" xr:uid="{71A9186D-8595-48D0-83E8-6208366A7949}">
      <formula1>hybride1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outon 2">
              <controlPr defaultSize="0" print="0" autoFill="0" autoPict="0" macro="[0]!tri_77005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mp_77005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74FC4C-D9D0-45C6-92FA-6CA2FF6EAC6B}">
          <x14:formula1>
            <xm:f>'Base données formats'!$A$4:$A$12</xm:f>
          </x14:formula1>
          <xm:sqref>B8:B11</xm:sqref>
        </x14:dataValidation>
        <x14:dataValidation type="list" allowBlank="1" showInputMessage="1" showErrorMessage="1" xr:uid="{138CA557-02DA-442C-8910-91B3A0010436}">
          <x14:formula1>
            <xm:f>'Base données formats'!$A$21:$A$69</xm:f>
          </x14:formula1>
          <xm:sqref>B13:B27</xm:sqref>
        </x14:dataValidation>
        <x14:dataValidation type="list" allowBlank="1" showInputMessage="1" showErrorMessage="1" xr:uid="{2CF3C28F-C168-44EA-B666-8DF6CC71C680}">
          <x14:formula1>
            <xm:f>'Base données formats'!$A$16:$A$17</xm:f>
          </x14:formula1>
          <xm:sqref>B4:B5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6A343-7934-4938-BBA0-D66EAF079109}">
  <sheetPr codeName="Feuil8">
    <pageSetUpPr fitToPage="1"/>
  </sheetPr>
  <dimension ref="A1:H54"/>
  <sheetViews>
    <sheetView showGridLines="0" zoomScale="70" zoomScaleNormal="70" workbookViewId="0">
      <selection activeCell="G32" sqref="G32"/>
    </sheetView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1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1" customHeight="1" x14ac:dyDescent="0.3">
      <c r="A13" s="450"/>
      <c r="B13" s="217" t="s">
        <v>135</v>
      </c>
      <c r="C13" s="246" t="str">
        <f>VLOOKUP(B13,Tableau16[],8,FALSE)</f>
        <v>Vert</v>
      </c>
      <c r="D13" s="218">
        <f>VLOOKUP(B13,Tableau16[],14,FALSE)</f>
        <v>30.6</v>
      </c>
      <c r="E13" s="219">
        <v>0.11</v>
      </c>
      <c r="F13" s="219">
        <v>0.11</v>
      </c>
      <c r="G13" s="220" t="str">
        <f>VLOOKUP(B13,Tableau16[],10,FALSE)</f>
        <v>Mouffette / Diesel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0.1</v>
      </c>
      <c r="F14" s="219">
        <v>0.13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142</v>
      </c>
      <c r="C16" s="221" t="str">
        <f>VLOOKUP(B16,Tableau16[],8,FALSE)</f>
        <v>5 Points Cannabis</v>
      </c>
      <c r="D16" s="218">
        <f>VLOOKUP(B16,Tableau16[],14,FALSE)</f>
        <v>27.6</v>
      </c>
      <c r="E16" s="219">
        <v>0.09</v>
      </c>
      <c r="F16" s="219">
        <v>0.11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137</v>
      </c>
      <c r="C17" s="221" t="str">
        <f>VLOOKUP(B17,Tableau16[],8,FALSE)</f>
        <v>Solei</v>
      </c>
      <c r="D17" s="218">
        <f>VLOOKUP(B17,Tableau16[],14,FALSE)</f>
        <v>22.1</v>
      </c>
      <c r="E17" s="219">
        <v>0.08</v>
      </c>
      <c r="F17" s="219">
        <v>0.1</v>
      </c>
      <c r="G17" s="220" t="str">
        <f>VLOOKUP(B17,Tableau16[],10,FALSE)</f>
        <v>Citronné / Épicé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131</v>
      </c>
      <c r="C18" s="221" t="str">
        <f>VLOOKUP(B18,Tableau16[],8,FALSE)</f>
        <v>Orchid</v>
      </c>
      <c r="D18" s="218">
        <f>VLOOKUP(B18,Tableau16[],14,FALSE)</f>
        <v>25.6</v>
      </c>
      <c r="E18" s="219">
        <v>0.08</v>
      </c>
      <c r="F18" s="219">
        <v>0.11</v>
      </c>
      <c r="G18" s="220" t="str">
        <f>VLOOKUP(B18,Tableau16[],10,FALSE)</f>
        <v>Fruité / Sucré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7.0000000000000007E-2</v>
      </c>
      <c r="F20" s="219">
        <v>0.06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153</v>
      </c>
      <c r="C21" s="221" t="str">
        <f>VLOOKUP(B21,Tableau16[],8,FALSE)</f>
        <v>Fuga</v>
      </c>
      <c r="D21" s="218">
        <f>VLOOKUP(B21,Tableau16[],14,FALSE)</f>
        <v>26</v>
      </c>
      <c r="E21" s="219">
        <v>0.06</v>
      </c>
      <c r="F21" s="219">
        <v>7.0000000000000007E-2</v>
      </c>
      <c r="G21" s="220" t="str">
        <f>VLOOKUP(B21,Tableau16[],10,FALSE)</f>
        <v>-</v>
      </c>
      <c r="H21" s="218" t="str">
        <f>VLOOKUP(B21,Tableau16[],4,FALSE)</f>
        <v>Qc</v>
      </c>
    </row>
    <row r="22" spans="1:8" ht="24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0.06</v>
      </c>
      <c r="F22" s="219">
        <v>0.09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154</v>
      </c>
      <c r="C23" s="221" t="str">
        <f>VLOOKUP(B23,Tableau16[],8,FALSE)</f>
        <v>Canna Farms</v>
      </c>
      <c r="D23" s="218">
        <f>VLOOKUP(B23,Tableau16[],14,FALSE)</f>
        <v>30.6</v>
      </c>
      <c r="E23" s="219">
        <v>0.06</v>
      </c>
      <c r="F23" s="219">
        <v>0.1</v>
      </c>
      <c r="G23" s="220" t="str">
        <f>VLOOKUP(B23,Tableau16[],10,FALSE)</f>
        <v>Fruité / Boisé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155</v>
      </c>
      <c r="C24" s="221" t="str">
        <f>VLOOKUP(B24,Tableau16[],8,FALSE)</f>
        <v>Color Cannabis</v>
      </c>
      <c r="D24" s="218">
        <f>VLOOKUP(B24,Tableau16[],14,FALSE)</f>
        <v>29.7</v>
      </c>
      <c r="E24" s="219">
        <v>0</v>
      </c>
      <c r="F24" s="219">
        <v>0.08</v>
      </c>
      <c r="G24" s="220" t="str">
        <f>VLOOKUP(B24,Tableau16[],10,FALSE)</f>
        <v>Boisé / Épicé</v>
      </c>
      <c r="H24" s="218" t="str">
        <f>VLOOKUP(B24,Tableau16[],4,FALSE)</f>
        <v>-</v>
      </c>
    </row>
    <row r="25" spans="1:8" ht="24" customHeight="1" x14ac:dyDescent="0.3">
      <c r="A25" s="450"/>
      <c r="B25" s="217" t="s">
        <v>151</v>
      </c>
      <c r="C25" s="221" t="str">
        <f>VLOOKUP(B25,Tableau16[],8,FALSE)</f>
        <v>De La Ferme</v>
      </c>
      <c r="D25" s="218">
        <f>VLOOKUP(B25,Tableau16[],14,FALSE)</f>
        <v>17.3</v>
      </c>
      <c r="E25" s="219">
        <v>0</v>
      </c>
      <c r="F25" s="219">
        <v>0.12</v>
      </c>
      <c r="G25" s="220" t="str">
        <f>VLOOKUP(B25,Tableau16[],10,FALSE)</f>
        <v>Épicé / FLoral</v>
      </c>
      <c r="H25" s="218" t="str">
        <f>VLOOKUP(B25,Tableau16[],4,FALSE)</f>
        <v>Qc</v>
      </c>
    </row>
    <row r="26" spans="1:8" ht="24" customHeight="1" x14ac:dyDescent="0.3">
      <c r="A26" s="450"/>
      <c r="B26" s="217" t="s">
        <v>156</v>
      </c>
      <c r="C26" s="221" t="str">
        <f>VLOOKUP(B26,Tableau16[],8,FALSE)</f>
        <v>Vert</v>
      </c>
      <c r="D26" s="218">
        <f>VLOOKUP(B26,Tableau16[],14,FALSE)</f>
        <v>30.6</v>
      </c>
      <c r="E26" s="219">
        <v>0</v>
      </c>
      <c r="F26" s="219">
        <v>0.12</v>
      </c>
      <c r="G26" s="220" t="str">
        <f>VLOOKUP(B26,Tableau16[],10,FALSE)</f>
        <v>Boisé / Terreux</v>
      </c>
      <c r="H26" s="218" t="str">
        <f>VLOOKUP(B26,Tableau16[],4,FALSE)</f>
        <v>Qc</v>
      </c>
    </row>
    <row r="27" spans="1:8" ht="24" customHeight="1" thickBot="1" x14ac:dyDescent="0.35">
      <c r="A27" s="451"/>
      <c r="B27" s="256" t="s">
        <v>145</v>
      </c>
      <c r="C27" s="257" t="str">
        <f>VLOOKUP(B27,Tableau16[],8,FALSE)</f>
        <v>Canna Farms</v>
      </c>
      <c r="D27" s="258">
        <f>VLOOKUP(B27,Tableau16[],14,FALSE)</f>
        <v>30.6</v>
      </c>
      <c r="E27" s="259">
        <v>0</v>
      </c>
      <c r="F27" s="259">
        <v>0.17</v>
      </c>
      <c r="G27" s="260" t="str">
        <f>VLOOKUP(B27,Tableau16[],10,FALSE)</f>
        <v>Fruité / Boisé</v>
      </c>
      <c r="H27" s="258" t="str">
        <f>VLOOKUP(B27,Tableau16[],4,FALSE)</f>
        <v>-</v>
      </c>
    </row>
    <row r="28" spans="1:8" ht="9.75" customHeight="1" x14ac:dyDescent="0.3">
      <c r="A28" s="183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9"/>
      <c r="C33" s="173"/>
      <c r="D33" s="174"/>
      <c r="E33" s="184"/>
      <c r="F33" s="8"/>
      <c r="G33" s="8"/>
    </row>
    <row r="34" spans="1:7" ht="8.25" customHeight="1" x14ac:dyDescent="0.3">
      <c r="A34" s="4"/>
      <c r="B34" s="61"/>
      <c r="C34" s="61"/>
      <c r="D34" s="61"/>
      <c r="E34" s="61"/>
      <c r="F34" s="61"/>
      <c r="G34" s="61"/>
    </row>
    <row r="35" spans="1:7" ht="39" customHeight="1" x14ac:dyDescent="0.3">
      <c r="A35" s="61"/>
      <c r="B35" s="176"/>
      <c r="C35" s="176"/>
      <c r="D35" s="177"/>
      <c r="E35" s="11"/>
      <c r="F35" s="11"/>
      <c r="G35" s="177"/>
    </row>
    <row r="36" spans="1:7" ht="19.5" customHeight="1" x14ac:dyDescent="0.3">
      <c r="A36" s="175"/>
      <c r="B36" s="170"/>
      <c r="C36" s="170"/>
      <c r="D36" s="171"/>
      <c r="E36" s="179"/>
      <c r="F36" s="172"/>
      <c r="G36" s="169"/>
    </row>
    <row r="37" spans="1:7" ht="19.5" customHeight="1" x14ac:dyDescent="0.3">
      <c r="A37" s="169"/>
      <c r="B37" s="170"/>
      <c r="C37" s="169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70"/>
      <c r="D39" s="171"/>
      <c r="E39" s="179"/>
      <c r="F39" s="172"/>
      <c r="G39" s="169"/>
    </row>
    <row r="40" spans="1:7" ht="19.5" customHeight="1" x14ac:dyDescent="0.3">
      <c r="A40" s="169"/>
      <c r="B40" s="4"/>
      <c r="C40" s="4"/>
      <c r="D40" s="167"/>
      <c r="E40" s="185"/>
      <c r="F40" s="198"/>
      <c r="G40" s="4"/>
    </row>
    <row r="41" spans="1:7" ht="33.75" x14ac:dyDescent="0.3">
      <c r="A41" s="169"/>
      <c r="B41" s="61"/>
      <c r="C41" s="61"/>
      <c r="D41" s="61"/>
      <c r="E41" s="61"/>
      <c r="F41" s="61"/>
      <c r="G41" s="61"/>
    </row>
    <row r="42" spans="1:7" ht="39.75" customHeight="1" x14ac:dyDescent="0.3">
      <c r="A42" s="61"/>
      <c r="B42" s="176"/>
      <c r="C42" s="176"/>
      <c r="D42" s="178"/>
      <c r="E42" s="11"/>
      <c r="F42" s="11"/>
      <c r="G42" s="177"/>
    </row>
    <row r="43" spans="1:7" x14ac:dyDescent="0.3">
      <c r="A43" s="175"/>
      <c r="B43" s="170"/>
      <c r="C43" s="170"/>
      <c r="D43" s="171"/>
      <c r="E43" s="186"/>
      <c r="F43" s="186"/>
      <c r="G43" s="171"/>
    </row>
    <row r="44" spans="1:7" x14ac:dyDescent="0.3">
      <c r="A44" s="169"/>
      <c r="B44" s="170"/>
      <c r="C44" s="170"/>
      <c r="D44" s="180"/>
      <c r="E44" s="179"/>
      <c r="F44" s="172"/>
      <c r="G44" s="171"/>
    </row>
    <row r="45" spans="1:7" x14ac:dyDescent="0.3">
      <c r="A45" s="169"/>
      <c r="B45" s="170"/>
      <c r="C45" s="169"/>
      <c r="D45" s="171"/>
      <c r="E45" s="179"/>
      <c r="F45" s="172"/>
      <c r="G45" s="171"/>
    </row>
    <row r="46" spans="1:7" x14ac:dyDescent="0.3">
      <c r="A46" s="169"/>
      <c r="B46" s="170"/>
      <c r="C46" s="170"/>
      <c r="D46" s="171"/>
      <c r="E46" s="179"/>
      <c r="F46" s="172"/>
      <c r="G46" s="171"/>
    </row>
    <row r="47" spans="1:7" x14ac:dyDescent="0.3">
      <c r="A47" s="169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6"/>
      <c r="D53" s="166"/>
      <c r="E53" s="181"/>
      <c r="F53" s="181"/>
      <c r="G53" s="5"/>
    </row>
    <row r="54" spans="1:7" x14ac:dyDescent="0.3">
      <c r="A5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7"/>
  </mergeCells>
  <conditionalFormatting sqref="C53:C1048576 C1">
    <cfRule type="cellIs" dxfId="19" priority="1" operator="equal">
      <formula>0</formula>
    </cfRule>
  </conditionalFormatting>
  <dataValidations count="2">
    <dataValidation type="list" allowBlank="1" showInputMessage="1" showErrorMessage="1" sqref="B1:C1" xr:uid="{09E29417-056D-49F7-A37F-0AE3CFC30B1E}">
      <formula1>hybride1</formula1>
    </dataValidation>
    <dataValidation type="list" allowBlank="1" showInputMessage="1" showErrorMessage="1" sqref="C37:C39 C43:C46" xr:uid="{8D90AA82-75B0-48C2-A354-F5E59C6918C4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outon 2">
              <controlPr defaultSize="0" print="0" autoFill="0" autoPict="0" macro="[0]!tri_77007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imp_77007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32B528-0864-426A-B72E-C7A207378C1E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7F99F6EB-31FE-4B58-A777-50ED98D0454A}">
          <x14:formula1>
            <xm:f>'Base données formats'!$A$21:$A$69</xm:f>
          </x14:formula1>
          <xm:sqref>B13:B27</xm:sqref>
        </x14:dataValidation>
        <x14:dataValidation type="list" allowBlank="1" showInputMessage="1" showErrorMessage="1" xr:uid="{E103EB3E-5312-40EC-B68C-1C799489405A}">
          <x14:formula1>
            <xm:f>'Base données formats'!$A$4:$A$12</xm:f>
          </x14:formula1>
          <xm:sqref>B8:B11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47E95-52C8-4558-A34A-3D122DC31BB7}">
  <sheetPr codeName="Feuil9">
    <pageSetUpPr fitToPage="1"/>
  </sheetPr>
  <dimension ref="A1:H63"/>
  <sheetViews>
    <sheetView showGridLines="0" zoomScale="70" zoomScaleNormal="70" workbookViewId="0">
      <selection activeCell="H36" sqref="A2:H36"/>
    </sheetView>
  </sheetViews>
  <sheetFormatPr baseColWidth="10" defaultColWidth="11.42578125" defaultRowHeight="17.25" x14ac:dyDescent="0.3"/>
  <cols>
    <col min="1" max="1" width="6.28515625" style="1" bestFit="1" customWidth="1"/>
    <col min="2" max="2" width="75.28515625" style="1" bestFit="1" customWidth="1"/>
    <col min="3" max="3" width="34.8554687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2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6.75" customHeight="1" thickBot="1" x14ac:dyDescent="0.35">
      <c r="A2" s="452" t="s">
        <v>152</v>
      </c>
      <c r="B2" s="444"/>
      <c r="C2" s="444"/>
      <c r="D2" s="444"/>
      <c r="E2" s="444"/>
      <c r="F2" s="444"/>
      <c r="G2" s="444"/>
      <c r="H2" s="445"/>
    </row>
    <row r="3" spans="1:8" ht="17.25" customHeight="1" x14ac:dyDescent="0.3">
      <c r="A3" s="276"/>
      <c r="B3" s="316"/>
      <c r="C3" s="316"/>
      <c r="D3" s="316"/>
      <c r="E3" s="316"/>
      <c r="F3" s="316"/>
      <c r="G3" s="316"/>
      <c r="H3" s="317"/>
    </row>
    <row r="4" spans="1:8" ht="21" customHeight="1" x14ac:dyDescent="0.3">
      <c r="A4" s="453" t="s">
        <v>121</v>
      </c>
      <c r="B4" s="318" t="s">
        <v>3</v>
      </c>
      <c r="C4" s="319" t="s">
        <v>4</v>
      </c>
      <c r="D4" s="320" t="s">
        <v>6</v>
      </c>
      <c r="E4" s="321" t="s">
        <v>40</v>
      </c>
      <c r="F4" s="321" t="s">
        <v>41</v>
      </c>
      <c r="G4" s="321" t="s">
        <v>122</v>
      </c>
      <c r="H4" s="322" t="s">
        <v>123</v>
      </c>
    </row>
    <row r="5" spans="1:8" ht="23.45" customHeight="1" x14ac:dyDescent="0.3">
      <c r="A5" s="453"/>
      <c r="B5" s="326" t="s">
        <v>124</v>
      </c>
      <c r="C5" s="327" t="str">
        <f>VLOOKUP(B5,Tableau15[],8,FALSE)</f>
        <v>Vert</v>
      </c>
      <c r="D5" s="328">
        <f>VLOOKUP(B5,Tableau15[],14,FALSE)</f>
        <v>27</v>
      </c>
      <c r="E5" s="329">
        <v>0.04</v>
      </c>
      <c r="F5" s="329">
        <v>0.14000000000000001</v>
      </c>
      <c r="G5" s="330" t="str">
        <f>VLOOKUP(B5,Tableau15[],10,FALSE)</f>
        <v>Épicé / Fruité</v>
      </c>
      <c r="H5" s="327" t="str">
        <f>VLOOKUP(B5,Tableau15[],4,FALSE)</f>
        <v>Qc</v>
      </c>
    </row>
    <row r="6" spans="1:8" ht="24" customHeight="1" x14ac:dyDescent="0.3">
      <c r="A6" s="325"/>
      <c r="B6" s="243"/>
      <c r="C6" s="337"/>
      <c r="D6" s="338"/>
      <c r="E6" s="244"/>
      <c r="F6" s="244"/>
      <c r="G6" s="339"/>
      <c r="H6" s="337"/>
    </row>
    <row r="7" spans="1:8" ht="21" customHeight="1" x14ac:dyDescent="0.3">
      <c r="A7" s="453" t="s">
        <v>125</v>
      </c>
      <c r="B7" s="331" t="s">
        <v>3</v>
      </c>
      <c r="C7" s="332" t="s">
        <v>4</v>
      </c>
      <c r="D7" s="333" t="s">
        <v>6</v>
      </c>
      <c r="E7" s="334" t="s">
        <v>40</v>
      </c>
      <c r="F7" s="334" t="s">
        <v>41</v>
      </c>
      <c r="G7" s="335" t="s">
        <v>122</v>
      </c>
      <c r="H7" s="336" t="s">
        <v>123</v>
      </c>
    </row>
    <row r="8" spans="1:8" ht="23.45" customHeight="1" x14ac:dyDescent="0.3">
      <c r="A8" s="453"/>
      <c r="B8" s="323" t="s">
        <v>126</v>
      </c>
      <c r="C8" s="281" t="str">
        <f>VLOOKUP(B8,Tableau14[],8,FALSE)</f>
        <v>Wio</v>
      </c>
      <c r="D8" s="281">
        <f>VLOOKUP(B8,Tableau14[],14,FALSE)</f>
        <v>33.9</v>
      </c>
      <c r="E8" s="282">
        <v>0.09</v>
      </c>
      <c r="F8" s="283">
        <v>0.13</v>
      </c>
      <c r="G8" s="283" t="str">
        <f>VLOOKUP(B8,Tableau14[],10,FALSE)</f>
        <v>Citronné / Sucré</v>
      </c>
      <c r="H8" s="281" t="str">
        <f>VLOOKUP(B8,Tableau14[],4,FALSE)</f>
        <v>Qc</v>
      </c>
    </row>
    <row r="9" spans="1:8" ht="23.45" customHeight="1" x14ac:dyDescent="0.3">
      <c r="A9" s="453"/>
      <c r="B9" s="323" t="s">
        <v>127</v>
      </c>
      <c r="C9" s="281" t="str">
        <f>VLOOKUP(B9,Tableau14[],8,FALSE)</f>
        <v>Trailblazer</v>
      </c>
      <c r="D9" s="281">
        <f>VLOOKUP(B9,Tableau14[],14,FALSE)</f>
        <v>22.9</v>
      </c>
      <c r="E9" s="282">
        <v>0.04</v>
      </c>
      <c r="F9" s="283">
        <v>7.0000000000000007E-2</v>
      </c>
      <c r="G9" s="283" t="str">
        <f>VLOOKUP(B9,Tableau14[],10,FALSE)</f>
        <v>Fruité / Sucré</v>
      </c>
      <c r="H9" s="281" t="str">
        <f>VLOOKUP(B9,Tableau14[],4,FALSE)</f>
        <v>-</v>
      </c>
    </row>
    <row r="10" spans="1:8" ht="23.45" customHeight="1" x14ac:dyDescent="0.3">
      <c r="A10" s="453"/>
      <c r="B10" s="323" t="s">
        <v>157</v>
      </c>
      <c r="C10" s="281" t="str">
        <f>VLOOKUP(B10,Tableau14[],8,FALSE)</f>
        <v>Terroir</v>
      </c>
      <c r="D10" s="281">
        <f>VLOOKUP(B10,Tableau14[],14,FALSE)</f>
        <v>27.5</v>
      </c>
      <c r="E10" s="282">
        <v>0</v>
      </c>
      <c r="F10" s="283">
        <v>0.12</v>
      </c>
      <c r="G10" s="283" t="str">
        <f>VLOOKUP(B10,Tableau14[],10,FALSE)</f>
        <v>Épicé / Boisé</v>
      </c>
      <c r="H10" s="281" t="str">
        <f>VLOOKUP(B10,Tableau14[],4,FALSE)</f>
        <v>Qc</v>
      </c>
    </row>
    <row r="11" spans="1:8" ht="23.45" customHeight="1" x14ac:dyDescent="0.3">
      <c r="A11" s="454"/>
      <c r="B11" s="326" t="s">
        <v>128</v>
      </c>
      <c r="C11" s="340" t="str">
        <f>VLOOKUP(B11,Tableau14[],8,FALSE)</f>
        <v>Solei</v>
      </c>
      <c r="D11" s="340">
        <f>VLOOKUP(B11,Tableau14[],14,FALSE)</f>
        <v>27</v>
      </c>
      <c r="E11" s="341">
        <v>0</v>
      </c>
      <c r="F11" s="329">
        <v>0.12</v>
      </c>
      <c r="G11" s="329" t="str">
        <f>VLOOKUP(B11,Tableau14[],10,FALSE)</f>
        <v>Mouffette / Épicé</v>
      </c>
      <c r="H11" s="340" t="str">
        <f>VLOOKUP(B11,Tableau14[],4,FALSE)</f>
        <v>-</v>
      </c>
    </row>
    <row r="12" spans="1:8" ht="13.5" customHeight="1" x14ac:dyDescent="0.3">
      <c r="A12" s="274"/>
      <c r="B12" s="243"/>
      <c r="C12" s="205"/>
      <c r="D12" s="205"/>
      <c r="E12" s="206"/>
      <c r="F12" s="244"/>
      <c r="G12" s="205"/>
    </row>
    <row r="13" spans="1:8" ht="21" customHeight="1" x14ac:dyDescent="0.3">
      <c r="A13" s="455" t="s">
        <v>129</v>
      </c>
      <c r="B13" s="342" t="s">
        <v>130</v>
      </c>
      <c r="C13" s="343" t="s">
        <v>4</v>
      </c>
      <c r="D13" s="344" t="s">
        <v>6</v>
      </c>
      <c r="E13" s="335" t="s">
        <v>40</v>
      </c>
      <c r="F13" s="335" t="s">
        <v>41</v>
      </c>
      <c r="G13" s="335" t="s">
        <v>122</v>
      </c>
      <c r="H13" s="345" t="s">
        <v>123</v>
      </c>
    </row>
    <row r="14" spans="1:8" ht="23.45" customHeight="1" x14ac:dyDescent="0.3">
      <c r="A14" s="456"/>
      <c r="B14" s="323" t="s">
        <v>131</v>
      </c>
      <c r="C14" s="281" t="str">
        <f>VLOOKUP(B14,Tableau16[],8,FALSE)</f>
        <v>Orchid</v>
      </c>
      <c r="D14" s="281">
        <f>VLOOKUP(B14,Tableau16[],14,FALSE)</f>
        <v>25.6</v>
      </c>
      <c r="E14" s="324">
        <v>0.11</v>
      </c>
      <c r="F14" s="324">
        <v>7.0000000000000007E-2</v>
      </c>
      <c r="G14" s="324" t="str">
        <f>VLOOKUP(B14,Tableau16[],10,FALSE)</f>
        <v>Fruité / Sucré</v>
      </c>
      <c r="H14" s="281" t="str">
        <f>VLOOKUP(B14,Tableau16[],4,FALSE)</f>
        <v>Qc</v>
      </c>
    </row>
    <row r="15" spans="1:8" ht="23.45" customHeight="1" x14ac:dyDescent="0.3">
      <c r="A15" s="456"/>
      <c r="B15" s="323" t="s">
        <v>132</v>
      </c>
      <c r="C15" s="315" t="str">
        <f>VLOOKUP(B15,Tableau16[],8,FALSE)</f>
        <v>Clem &amp; Co</v>
      </c>
      <c r="D15" s="281">
        <f>VLOOKUP(B15,Tableau16[],14,FALSE)</f>
        <v>29.9</v>
      </c>
      <c r="E15" s="324">
        <v>0.11</v>
      </c>
      <c r="F15" s="324">
        <v>0.15</v>
      </c>
      <c r="G15" s="324" t="str">
        <f>VLOOKUP(B15,Tableau16[],10,FALSE)</f>
        <v>Fruité / Floral</v>
      </c>
      <c r="H15" s="281" t="str">
        <f>VLOOKUP(B15,Tableau16[],4,FALSE)</f>
        <v>Qc</v>
      </c>
    </row>
    <row r="16" spans="1:8" ht="23.45" customHeight="1" x14ac:dyDescent="0.3">
      <c r="A16" s="456"/>
      <c r="B16" s="323" t="s">
        <v>135</v>
      </c>
      <c r="C16" s="315" t="str">
        <f>VLOOKUP(B16,Tableau16[],8,FALSE)</f>
        <v>Vert</v>
      </c>
      <c r="D16" s="281">
        <f>VLOOKUP(B16,Tableau16[],14,FALSE)</f>
        <v>30.6</v>
      </c>
      <c r="E16" s="324">
        <v>0.1</v>
      </c>
      <c r="F16" s="324">
        <v>0.13</v>
      </c>
      <c r="G16" s="324" t="str">
        <f>VLOOKUP(B16,Tableau16[],10,FALSE)</f>
        <v>Mouffette / Diesel</v>
      </c>
      <c r="H16" s="281" t="str">
        <f>VLOOKUP(B16,Tableau16[],4,FALSE)</f>
        <v>Qc</v>
      </c>
    </row>
    <row r="17" spans="1:8" ht="23.45" customHeight="1" x14ac:dyDescent="0.3">
      <c r="A17" s="456"/>
      <c r="B17" s="323" t="s">
        <v>158</v>
      </c>
      <c r="C17" s="281" t="str">
        <f>VLOOKUP(B17,Tableau16[],8,FALSE)</f>
        <v>Nordique Royale</v>
      </c>
      <c r="D17" s="281">
        <f>VLOOKUP(B17,Tableau16[],14,FALSE)</f>
        <v>29.9</v>
      </c>
      <c r="E17" s="324">
        <v>0.09</v>
      </c>
      <c r="F17" s="324">
        <v>0.13</v>
      </c>
      <c r="G17" s="324" t="str">
        <f>VLOOKUP(B17,Tableau16[],10,FALSE)</f>
        <v>Fruité / Floral</v>
      </c>
      <c r="H17" s="281" t="str">
        <f>VLOOKUP(B17,Tableau16[],4,FALSE)</f>
        <v>Qc</v>
      </c>
    </row>
    <row r="18" spans="1:8" ht="23.45" customHeight="1" x14ac:dyDescent="0.3">
      <c r="A18" s="456"/>
      <c r="B18" s="323" t="s">
        <v>136</v>
      </c>
      <c r="C18" s="281" t="str">
        <f>VLOOKUP(B18,Tableau16[],8,FALSE)</f>
        <v>Promenade</v>
      </c>
      <c r="D18" s="281">
        <f>VLOOKUP(B18,Tableau16[],14,FALSE)</f>
        <v>21.4</v>
      </c>
      <c r="E18" s="324">
        <v>0.08</v>
      </c>
      <c r="F18" s="324">
        <v>0.08</v>
      </c>
      <c r="G18" s="324" t="str">
        <f>VLOOKUP(B18,Tableau16[],10,FALSE)</f>
        <v>Sucré / Terreux</v>
      </c>
      <c r="H18" s="281" t="str">
        <f>VLOOKUP(B18,Tableau16[],4,FALSE)</f>
        <v>-</v>
      </c>
    </row>
    <row r="19" spans="1:8" ht="23.45" customHeight="1" x14ac:dyDescent="0.3">
      <c r="A19" s="456"/>
      <c r="B19" s="323" t="s">
        <v>134</v>
      </c>
      <c r="C19" s="281" t="str">
        <f>VLOOKUP(B19,Tableau16[],8,FALSE)</f>
        <v>Simply Bare</v>
      </c>
      <c r="D19" s="281">
        <f>VLOOKUP(B19,Tableau16[],14,FALSE)</f>
        <v>42.8</v>
      </c>
      <c r="E19" s="324">
        <v>0.08</v>
      </c>
      <c r="F19" s="324">
        <v>0.09</v>
      </c>
      <c r="G19" s="324" t="str">
        <f>VLOOKUP(B19,Tableau16[],10,FALSE)</f>
        <v>Terreux / Sucré</v>
      </c>
      <c r="H19" s="281" t="str">
        <f>VLOOKUP(B19,Tableau16[],4,FALSE)</f>
        <v>-</v>
      </c>
    </row>
    <row r="20" spans="1:8" ht="23.45" customHeight="1" x14ac:dyDescent="0.3">
      <c r="A20" s="456"/>
      <c r="B20" s="323" t="s">
        <v>137</v>
      </c>
      <c r="C20" s="315" t="str">
        <f>VLOOKUP(B20,Tableau16[],8,FALSE)</f>
        <v>Solei</v>
      </c>
      <c r="D20" s="281">
        <f>VLOOKUP(B20,Tableau16[],14,FALSE)</f>
        <v>22.1</v>
      </c>
      <c r="E20" s="324">
        <v>0.08</v>
      </c>
      <c r="F20" s="324">
        <v>0.09</v>
      </c>
      <c r="G20" s="324" t="str">
        <f>VLOOKUP(B20,Tableau16[],10,FALSE)</f>
        <v>Citronné / Épicé</v>
      </c>
      <c r="H20" s="281" t="str">
        <f>VLOOKUP(B20,Tableau16[],4,FALSE)</f>
        <v>-</v>
      </c>
    </row>
    <row r="21" spans="1:8" ht="23.45" customHeight="1" x14ac:dyDescent="0.3">
      <c r="A21" s="456"/>
      <c r="B21" s="323" t="s">
        <v>133</v>
      </c>
      <c r="C21" s="281" t="str">
        <f>VLOOKUP(B21,Tableau16[],8,FALSE)</f>
        <v>Endo</v>
      </c>
      <c r="D21" s="281">
        <f>VLOOKUP(B21,Tableau16[],14,FALSE)</f>
        <v>29.9</v>
      </c>
      <c r="E21" s="324">
        <v>0.08</v>
      </c>
      <c r="F21" s="324">
        <v>0.1</v>
      </c>
      <c r="G21" s="324" t="str">
        <f>VLOOKUP(B21,Tableau16[],10,FALSE)</f>
        <v>Fruité / Citronné</v>
      </c>
      <c r="H21" s="281" t="str">
        <f>VLOOKUP(B21,Tableau16[],4,FALSE)</f>
        <v>Qc</v>
      </c>
    </row>
    <row r="22" spans="1:8" ht="23.45" customHeight="1" x14ac:dyDescent="0.3">
      <c r="A22" s="456"/>
      <c r="B22" s="323" t="s">
        <v>138</v>
      </c>
      <c r="C22" s="281" t="str">
        <f>VLOOKUP(B22,Tableau16[],8,FALSE)</f>
        <v>Promenade</v>
      </c>
      <c r="D22" s="281">
        <f>VLOOKUP(B22,Tableau16[],14,FALSE)</f>
        <v>19.3</v>
      </c>
      <c r="E22" s="324">
        <v>0.08</v>
      </c>
      <c r="F22" s="324">
        <v>0.11</v>
      </c>
      <c r="G22" s="324" t="str">
        <f>VLOOKUP(B22,Tableau16[],10,FALSE)</f>
        <v>-</v>
      </c>
      <c r="H22" s="281" t="str">
        <f>VLOOKUP(B22,Tableau16[],4,FALSE)</f>
        <v>-</v>
      </c>
    </row>
    <row r="23" spans="1:8" ht="23.45" customHeight="1" x14ac:dyDescent="0.3">
      <c r="A23" s="456"/>
      <c r="B23" s="323" t="s">
        <v>140</v>
      </c>
      <c r="C23" s="281" t="str">
        <f>VLOOKUP(B23,Tableau16[],8,FALSE)</f>
        <v>Redecan</v>
      </c>
      <c r="D23" s="281">
        <f>VLOOKUP(B23,Tableau16[],14,FALSE)</f>
        <v>22.2</v>
      </c>
      <c r="E23" s="324">
        <v>0.08</v>
      </c>
      <c r="F23" s="324">
        <v>0.11</v>
      </c>
      <c r="G23" s="324" t="str">
        <f>VLOOKUP(B23,Tableau16[],10,FALSE)</f>
        <v>- / -</v>
      </c>
      <c r="H23" s="281" t="str">
        <f>VLOOKUP(B23,Tableau16[],4,FALSE)</f>
        <v>-</v>
      </c>
    </row>
    <row r="24" spans="1:8" ht="23.45" customHeight="1" x14ac:dyDescent="0.3">
      <c r="A24" s="456"/>
      <c r="B24" s="323" t="s">
        <v>139</v>
      </c>
      <c r="C24" s="281" t="str">
        <f>VLOOKUP(B24,Tableau16[],8,FALSE)</f>
        <v>Twd.</v>
      </c>
      <c r="D24" s="281">
        <f>VLOOKUP(B24,Tableau16[],14,FALSE)</f>
        <v>21.2</v>
      </c>
      <c r="E24" s="324">
        <v>7.0000000000000007E-2</v>
      </c>
      <c r="F24" s="324">
        <v>0.06</v>
      </c>
      <c r="G24" s="324" t="str">
        <f>VLOOKUP(B24,Tableau16[],10,FALSE)</f>
        <v>-</v>
      </c>
      <c r="H24" s="281" t="str">
        <f>VLOOKUP(B24,Tableau16[],4,FALSE)</f>
        <v>-</v>
      </c>
    </row>
    <row r="25" spans="1:8" ht="23.45" customHeight="1" x14ac:dyDescent="0.3">
      <c r="A25" s="456"/>
      <c r="B25" s="323" t="s">
        <v>142</v>
      </c>
      <c r="C25" s="281"/>
      <c r="D25" s="281">
        <f>VLOOKUP(B25,Tableau16[],14,FALSE)</f>
        <v>27.6</v>
      </c>
      <c r="E25" s="324">
        <v>0.06</v>
      </c>
      <c r="F25" s="324">
        <v>0.08</v>
      </c>
      <c r="G25" s="324" t="str">
        <f>VLOOKUP(B25,Tableau16[],10,FALSE)</f>
        <v>Fruité / Citronné</v>
      </c>
      <c r="H25" s="281" t="str">
        <f>VLOOKUP(B25,Tableau16[],4,FALSE)</f>
        <v>Qc</v>
      </c>
    </row>
    <row r="26" spans="1:8" ht="23.45" customHeight="1" x14ac:dyDescent="0.3">
      <c r="A26" s="456"/>
      <c r="B26" s="323" t="s">
        <v>141</v>
      </c>
      <c r="C26" s="281" t="str">
        <f>VLOOKUP(B26,Tableau16[],8,FALSE)</f>
        <v>Color Cannabis</v>
      </c>
      <c r="D26" s="281">
        <f>VLOOKUP(B26,Tableau16[],14,FALSE)</f>
        <v>29.7</v>
      </c>
      <c r="E26" s="324">
        <v>0.06</v>
      </c>
      <c r="F26" s="324">
        <v>0.08</v>
      </c>
      <c r="G26" s="324" t="str">
        <f>VLOOKUP(B26,Tableau16[],10,FALSE)</f>
        <v>Floral / Fruité</v>
      </c>
      <c r="H26" s="281" t="str">
        <f>VLOOKUP(B26,Tableau16[],4,FALSE)</f>
        <v>-</v>
      </c>
    </row>
    <row r="27" spans="1:8" ht="23.45" customHeight="1" x14ac:dyDescent="0.3">
      <c r="A27" s="456"/>
      <c r="B27" s="323" t="s">
        <v>143</v>
      </c>
      <c r="C27" s="281" t="str">
        <f>VLOOKUP(B27,Tableau16[],8,FALSE)</f>
        <v>Bud Lafleur</v>
      </c>
      <c r="D27" s="281">
        <f>VLOOKUP(B27,Tableau16[],14,FALSE)</f>
        <v>27</v>
      </c>
      <c r="E27" s="324">
        <v>0.04</v>
      </c>
      <c r="F27" s="324">
        <v>0.06</v>
      </c>
      <c r="G27" s="324" t="str">
        <f>VLOOKUP(B27,Tableau16[],10,FALSE)</f>
        <v>Fruité / Sucré</v>
      </c>
      <c r="H27" s="281" t="str">
        <f>VLOOKUP(B27,Tableau16[],4,FALSE)</f>
        <v>Qc</v>
      </c>
    </row>
    <row r="28" spans="1:8" ht="23.45" customHeight="1" x14ac:dyDescent="0.3">
      <c r="A28" s="456"/>
      <c r="B28" s="323" t="s">
        <v>149</v>
      </c>
      <c r="C28" s="281" t="str">
        <f>VLOOKUP(B28,Tableau16[],8,FALSE)</f>
        <v>Équilibre</v>
      </c>
      <c r="D28" s="281">
        <f>VLOOKUP(B28,Tableau16[],14,FALSE)</f>
        <v>22.3</v>
      </c>
      <c r="E28" s="324">
        <v>0</v>
      </c>
      <c r="F28" s="324">
        <v>0.11</v>
      </c>
      <c r="G28" s="324" t="str">
        <f>VLOOKUP(B28,Tableau16[],10,FALSE)</f>
        <v>-</v>
      </c>
      <c r="H28" s="281" t="str">
        <f>VLOOKUP(B28,Tableau16[],4,FALSE)</f>
        <v>Qc</v>
      </c>
    </row>
    <row r="29" spans="1:8" ht="23.45" customHeight="1" x14ac:dyDescent="0.3">
      <c r="A29" s="456"/>
      <c r="B29" s="323" t="s">
        <v>151</v>
      </c>
      <c r="C29" s="281" t="str">
        <f>VLOOKUP(B29,Tableau16[],8,FALSE)</f>
        <v>De La Ferme</v>
      </c>
      <c r="D29" s="281">
        <f>VLOOKUP(B29,Tableau16[],14,FALSE)</f>
        <v>17.3</v>
      </c>
      <c r="E29" s="324">
        <v>0</v>
      </c>
      <c r="F29" s="324">
        <v>0.12</v>
      </c>
      <c r="G29" s="324" t="str">
        <f>VLOOKUP(B29,Tableau16[],10,FALSE)</f>
        <v>Épicé / FLoral</v>
      </c>
      <c r="H29" s="281" t="str">
        <f>VLOOKUP(B29,Tableau16[],4,FALSE)</f>
        <v>Qc</v>
      </c>
    </row>
    <row r="30" spans="1:8" ht="23.45" customHeight="1" x14ac:dyDescent="0.3">
      <c r="A30" s="456"/>
      <c r="B30" s="323" t="s">
        <v>146</v>
      </c>
      <c r="C30" s="281" t="str">
        <f>VLOOKUP(B30,Tableau16[],8,FALSE)</f>
        <v>Cannabiomedic</v>
      </c>
      <c r="D30" s="281">
        <f>VLOOKUP(B30,Tableau16[],14,FALSE)</f>
        <v>27.6</v>
      </c>
      <c r="E30" s="324">
        <v>0</v>
      </c>
      <c r="F30" s="324">
        <v>0.14000000000000001</v>
      </c>
      <c r="G30" s="324" t="str">
        <f>VLOOKUP(B30,Tableau16[],10,FALSE)</f>
        <v>-</v>
      </c>
      <c r="H30" s="281" t="str">
        <f>VLOOKUP(B30,Tableau16[],4,FALSE)</f>
        <v>Qc</v>
      </c>
    </row>
    <row r="31" spans="1:8" ht="23.45" customHeight="1" x14ac:dyDescent="0.3">
      <c r="A31" s="456"/>
      <c r="B31" s="323" t="s">
        <v>150</v>
      </c>
      <c r="C31" s="281" t="str">
        <f>VLOOKUP(B31,Tableau16[],8,FALSE)</f>
        <v>Lunaire</v>
      </c>
      <c r="D31" s="281">
        <f>VLOOKUP(B31,Tableau16[],14,FALSE)</f>
        <v>25.8</v>
      </c>
      <c r="E31" s="324">
        <v>0</v>
      </c>
      <c r="F31" s="324">
        <v>0.14000000000000001</v>
      </c>
      <c r="G31" s="324" t="str">
        <f>VLOOKUP(B31,Tableau16[],10,FALSE)</f>
        <v>Floral / Fruité</v>
      </c>
      <c r="H31" s="281" t="str">
        <f>VLOOKUP(B31,Tableau16[],4,FALSE)</f>
        <v>Qc</v>
      </c>
    </row>
    <row r="32" spans="1:8" ht="23.45" customHeight="1" x14ac:dyDescent="0.3">
      <c r="A32" s="456"/>
      <c r="B32" s="323" t="s">
        <v>144</v>
      </c>
      <c r="C32" s="281" t="str">
        <f>VLOOKUP(B32,Tableau16[],8,FALSE)</f>
        <v>Promenade</v>
      </c>
      <c r="D32" s="281">
        <f>VLOOKUP(B32,Tableau16[],14,FALSE)</f>
        <v>21.4</v>
      </c>
      <c r="E32" s="324">
        <v>0</v>
      </c>
      <c r="F32" s="324">
        <v>0.16</v>
      </c>
      <c r="G32" s="324" t="str">
        <f>VLOOKUP(B32,Tableau16[],10,FALSE)</f>
        <v>Fruité / Floral</v>
      </c>
      <c r="H32" s="281" t="str">
        <f>VLOOKUP(B32,Tableau16[],4,FALSE)</f>
        <v>-</v>
      </c>
    </row>
    <row r="33" spans="1:8" ht="23.45" customHeight="1" x14ac:dyDescent="0.3">
      <c r="A33" s="456"/>
      <c r="B33" s="323" t="s">
        <v>145</v>
      </c>
      <c r="C33" s="281" t="str">
        <f>VLOOKUP(B33,Tableau16[],8,FALSE)</f>
        <v>Canna Farms</v>
      </c>
      <c r="D33" s="281">
        <f>VLOOKUP(B33,Tableau16[],14,FALSE)</f>
        <v>30.6</v>
      </c>
      <c r="E33" s="324">
        <v>0</v>
      </c>
      <c r="F33" s="324">
        <v>0.17</v>
      </c>
      <c r="G33" s="324" t="str">
        <f>VLOOKUP(B33,Tableau16[],10,FALSE)</f>
        <v>Fruité / Boisé</v>
      </c>
      <c r="H33" s="281" t="str">
        <f>VLOOKUP(B33,Tableau16[],4,FALSE)</f>
        <v>-</v>
      </c>
    </row>
    <row r="34" spans="1:8" ht="23.45" customHeight="1" x14ac:dyDescent="0.3">
      <c r="A34" s="456"/>
      <c r="B34" s="323" t="s">
        <v>147</v>
      </c>
      <c r="C34" s="281" t="str">
        <f>VLOOKUP(B34,Tableau16[],8,FALSE)</f>
        <v>XK</v>
      </c>
      <c r="D34" s="281">
        <f>VLOOKUP(B34,Tableau16[],14,FALSE)</f>
        <v>27</v>
      </c>
      <c r="E34" s="324">
        <v>0</v>
      </c>
      <c r="F34" s="324">
        <v>0.17</v>
      </c>
      <c r="G34" s="324" t="str">
        <f>VLOOKUP(B34,Tableau16[],10,FALSE)</f>
        <v>Terreux / Citronné</v>
      </c>
      <c r="H34" s="281" t="str">
        <f>VLOOKUP(B34,Tableau16[],4,FALSE)</f>
        <v>-</v>
      </c>
    </row>
    <row r="35" spans="1:8" ht="23.45" hidden="1" customHeight="1" x14ac:dyDescent="0.3">
      <c r="A35" s="456"/>
      <c r="B35" s="323" t="s">
        <v>145</v>
      </c>
      <c r="C35" s="315" t="str">
        <f>VLOOKUP(B35,Tableau16[],8,FALSE)</f>
        <v>Canna Farms</v>
      </c>
      <c r="D35" s="281">
        <f>VLOOKUP(B35,Tableau16[],14,FALSE)</f>
        <v>30.6</v>
      </c>
      <c r="E35" s="324">
        <v>0</v>
      </c>
      <c r="F35" s="324">
        <v>0.17</v>
      </c>
      <c r="G35" s="324" t="str">
        <f>VLOOKUP(B35,Tableau16[],10,FALSE)</f>
        <v>Fruité / Boisé</v>
      </c>
      <c r="H35" s="281" t="str">
        <f>VLOOKUP(B35,Tableau16[],4,FALSE)</f>
        <v>-</v>
      </c>
    </row>
    <row r="36" spans="1:8" ht="23.45" customHeight="1" x14ac:dyDescent="0.3">
      <c r="A36" s="456"/>
      <c r="B36" s="323" t="s">
        <v>148</v>
      </c>
      <c r="C36" s="281" t="str">
        <f>VLOOKUP(B36,Tableau16[],8,FALSE)</f>
        <v>T'es Dans L'Champ</v>
      </c>
      <c r="D36" s="281">
        <f>VLOOKUP(B36,Tableau16[],14,FALSE)</f>
        <v>19.899999999999999</v>
      </c>
      <c r="E36" s="324">
        <v>0</v>
      </c>
      <c r="F36" s="324">
        <v>0.18</v>
      </c>
      <c r="G36" s="324" t="str">
        <f>VLOOKUP(B36,Tableau16[],10,FALSE)</f>
        <v>-</v>
      </c>
      <c r="H36" s="281" t="str">
        <f>VLOOKUP(B36,Tableau16[],4,FALSE)</f>
        <v>Qc</v>
      </c>
    </row>
    <row r="37" spans="1:8" ht="29.25" customHeight="1" x14ac:dyDescent="0.3">
      <c r="A37" s="183"/>
      <c r="B37" s="170"/>
      <c r="C37" s="169"/>
      <c r="D37" s="171"/>
      <c r="E37" s="172"/>
      <c r="F37" s="172"/>
      <c r="G37" s="169"/>
    </row>
    <row r="38" spans="1:8" ht="19.5" customHeight="1" x14ac:dyDescent="0.3">
      <c r="A38" s="169"/>
      <c r="B38" s="170"/>
      <c r="C38" s="169"/>
      <c r="D38" s="171"/>
      <c r="E38" s="172"/>
      <c r="F38" s="172"/>
      <c r="G38" s="169"/>
    </row>
    <row r="39" spans="1:8" ht="19.5" customHeight="1" x14ac:dyDescent="0.3">
      <c r="A39" s="169"/>
      <c r="B39" s="170"/>
      <c r="C39" s="169"/>
      <c r="D39" s="171"/>
      <c r="E39" s="172"/>
      <c r="F39" s="172"/>
      <c r="G39" s="169"/>
    </row>
    <row r="40" spans="1:8" ht="19.5" customHeight="1" x14ac:dyDescent="0.3">
      <c r="A40" s="169"/>
      <c r="B40" s="170"/>
      <c r="C40" s="169"/>
      <c r="D40" s="171"/>
      <c r="E40" s="172"/>
      <c r="F40" s="172"/>
      <c r="G40" s="169"/>
    </row>
    <row r="41" spans="1:8" ht="19.5" customHeight="1" x14ac:dyDescent="0.3">
      <c r="A41" s="169"/>
      <c r="B41" s="170"/>
      <c r="C41" s="169"/>
      <c r="D41" s="171"/>
      <c r="E41" s="172"/>
      <c r="F41" s="172"/>
      <c r="G41" s="169"/>
    </row>
    <row r="42" spans="1:8" ht="19.5" customHeight="1" x14ac:dyDescent="0.3">
      <c r="A42" s="169"/>
      <c r="B42" s="9"/>
      <c r="C42" s="173"/>
      <c r="D42" s="174"/>
      <c r="E42" s="184"/>
      <c r="F42" s="8"/>
      <c r="G42" s="8"/>
    </row>
    <row r="43" spans="1:8" ht="8.25" customHeight="1" x14ac:dyDescent="0.3">
      <c r="A43" s="4"/>
      <c r="B43" s="61"/>
      <c r="C43" s="61"/>
      <c r="D43" s="61"/>
      <c r="E43" s="61"/>
      <c r="F43" s="61"/>
      <c r="G43" s="61"/>
    </row>
    <row r="44" spans="1:8" ht="39" customHeight="1" x14ac:dyDescent="0.3">
      <c r="A44" s="61"/>
      <c r="B44" s="176"/>
      <c r="C44" s="176"/>
      <c r="D44" s="177"/>
      <c r="E44" s="11"/>
      <c r="F44" s="11"/>
      <c r="G44" s="177"/>
    </row>
    <row r="45" spans="1:8" ht="19.5" customHeight="1" x14ac:dyDescent="0.3">
      <c r="A45" s="175"/>
      <c r="B45" s="170"/>
      <c r="C45" s="170"/>
      <c r="D45" s="171"/>
      <c r="E45" s="179"/>
      <c r="F45" s="172"/>
      <c r="G45" s="169"/>
    </row>
    <row r="46" spans="1:8" ht="19.5" customHeight="1" x14ac:dyDescent="0.3">
      <c r="A46" s="169"/>
      <c r="B46" s="170"/>
      <c r="C46" s="169"/>
      <c r="D46" s="171"/>
      <c r="E46" s="179"/>
      <c r="F46" s="172"/>
      <c r="G46" s="169"/>
    </row>
    <row r="47" spans="1:8" ht="19.5" customHeight="1" x14ac:dyDescent="0.3">
      <c r="A47" s="169"/>
      <c r="B47" s="170"/>
      <c r="C47" s="170"/>
      <c r="D47" s="171"/>
      <c r="E47" s="179"/>
      <c r="F47" s="172"/>
      <c r="G47" s="169"/>
    </row>
    <row r="48" spans="1:8" ht="19.5" customHeight="1" x14ac:dyDescent="0.3">
      <c r="A48" s="169"/>
      <c r="B48" s="170"/>
      <c r="C48" s="170"/>
      <c r="D48" s="171"/>
      <c r="E48" s="179"/>
      <c r="F48" s="172"/>
      <c r="G48" s="169"/>
    </row>
    <row r="49" spans="1:7" ht="19.5" customHeight="1" x14ac:dyDescent="0.3">
      <c r="A49" s="169"/>
      <c r="B49" s="4"/>
      <c r="C49" s="4"/>
      <c r="D49" s="167"/>
      <c r="E49" s="185"/>
      <c r="F49" s="198"/>
      <c r="G49" s="4"/>
    </row>
    <row r="50" spans="1:7" ht="33.75" x14ac:dyDescent="0.3">
      <c r="A50" s="169"/>
      <c r="B50" s="61"/>
      <c r="C50" s="61"/>
      <c r="D50" s="61"/>
      <c r="E50" s="61"/>
      <c r="F50" s="61"/>
      <c r="G50" s="61"/>
    </row>
    <row r="51" spans="1:7" ht="39.75" customHeight="1" x14ac:dyDescent="0.3">
      <c r="A51" s="61"/>
      <c r="B51" s="176"/>
      <c r="C51" s="176"/>
      <c r="D51" s="178"/>
      <c r="E51" s="11"/>
      <c r="F51" s="11"/>
      <c r="G51" s="177"/>
    </row>
    <row r="52" spans="1:7" x14ac:dyDescent="0.3">
      <c r="A52" s="175"/>
      <c r="B52" s="170"/>
      <c r="C52" s="170"/>
      <c r="D52" s="171"/>
      <c r="E52" s="186"/>
      <c r="F52" s="186"/>
      <c r="G52" s="171"/>
    </row>
    <row r="53" spans="1:7" x14ac:dyDescent="0.3">
      <c r="A53" s="169"/>
      <c r="B53" s="170"/>
      <c r="C53" s="170"/>
      <c r="D53" s="180"/>
      <c r="E53" s="179"/>
      <c r="F53" s="172"/>
      <c r="G53" s="171"/>
    </row>
    <row r="54" spans="1:7" x14ac:dyDescent="0.3">
      <c r="A54" s="169"/>
      <c r="B54" s="170"/>
      <c r="C54" s="169"/>
      <c r="D54" s="171"/>
      <c r="E54" s="179"/>
      <c r="F54" s="172"/>
      <c r="G54" s="171"/>
    </row>
    <row r="55" spans="1:7" x14ac:dyDescent="0.3">
      <c r="A55" s="169"/>
      <c r="B55" s="170"/>
      <c r="C55" s="170"/>
      <c r="D55" s="171"/>
      <c r="E55" s="179"/>
      <c r="F55" s="172"/>
      <c r="G55" s="171"/>
    </row>
    <row r="56" spans="1:7" x14ac:dyDescent="0.3">
      <c r="A56" s="169"/>
      <c r="B56" s="4"/>
      <c r="C56" s="4"/>
      <c r="D56" s="167"/>
      <c r="E56" s="185"/>
      <c r="F56" s="198"/>
      <c r="G56" s="4"/>
    </row>
    <row r="57" spans="1:7" x14ac:dyDescent="0.3">
      <c r="A57" s="4"/>
      <c r="B57" s="4"/>
      <c r="C57" s="4"/>
      <c r="D57" s="167"/>
      <c r="E57" s="185"/>
      <c r="F57" s="198"/>
      <c r="G57" s="4"/>
    </row>
    <row r="58" spans="1:7" x14ac:dyDescent="0.3">
      <c r="A58" s="4"/>
      <c r="B58" s="4"/>
      <c r="C58" s="4"/>
      <c r="D58" s="167"/>
      <c r="E58" s="185"/>
      <c r="F58" s="198"/>
      <c r="G58" s="4"/>
    </row>
    <row r="59" spans="1:7" x14ac:dyDescent="0.3">
      <c r="A59" s="4"/>
      <c r="B59" s="4"/>
      <c r="C59" s="4"/>
      <c r="D59" s="167"/>
      <c r="E59" s="185"/>
      <c r="F59" s="198"/>
      <c r="G59" s="4"/>
    </row>
    <row r="60" spans="1:7" x14ac:dyDescent="0.3">
      <c r="A60" s="4"/>
      <c r="B60" s="4"/>
      <c r="C60" s="4"/>
      <c r="D60" s="167"/>
      <c r="E60" s="185"/>
      <c r="F60" s="198"/>
      <c r="G60" s="4"/>
    </row>
    <row r="61" spans="1:7" x14ac:dyDescent="0.3">
      <c r="A61" s="4"/>
      <c r="B61" s="4"/>
      <c r="C61" s="4"/>
      <c r="D61" s="167"/>
      <c r="E61" s="185"/>
      <c r="F61" s="198"/>
      <c r="G61" s="4"/>
    </row>
    <row r="62" spans="1:7" x14ac:dyDescent="0.3">
      <c r="A62" s="4"/>
      <c r="B62" s="4"/>
      <c r="C62" s="6"/>
      <c r="D62" s="166"/>
      <c r="E62" s="181"/>
      <c r="F62" s="181"/>
      <c r="G62" s="5"/>
    </row>
    <row r="63" spans="1:7" x14ac:dyDescent="0.3">
      <c r="A63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4:A5"/>
    <mergeCell ref="A7:A11"/>
    <mergeCell ref="A13:A36"/>
  </mergeCells>
  <conditionalFormatting sqref="C62:C1048576 C1">
    <cfRule type="cellIs" dxfId="18" priority="1" operator="equal">
      <formula>0</formula>
    </cfRule>
  </conditionalFormatting>
  <dataValidations count="2">
    <dataValidation type="list" allowBlank="1" showInputMessage="1" showErrorMessage="1" sqref="C46:C48 C52:C55" xr:uid="{4E071E4C-E417-4184-84E5-9EB70FF37469}">
      <formula1>#REF!</formula1>
    </dataValidation>
    <dataValidation type="list" allowBlank="1" showInputMessage="1" showErrorMessage="1" sqref="B1:C1" xr:uid="{B9876472-6B7D-4BBE-8E43-48A65AD3468D}">
      <formula1>hybride1</formula1>
    </dataValidation>
  </dataValidations>
  <printOptions horizontalCentered="1" verticalCentered="1"/>
  <pageMargins left="0.25" right="0.25" top="0.75" bottom="0.75" header="0.3" footer="0.3"/>
  <pageSetup paperSize="5" scale="65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outon 2">
              <controlPr defaultSize="0" print="0" autoFill="0" autoPict="0" macro="[0]!tri_77008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imp_77008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0E1173-6364-474A-8D15-BB7D196383CE}">
          <x14:formula1>
            <xm:f>'Base données formats'!$A$4:$A$12</xm:f>
          </x14:formula1>
          <xm:sqref>B8:B12</xm:sqref>
        </x14:dataValidation>
        <x14:dataValidation type="list" allowBlank="1" showInputMessage="1" showErrorMessage="1" xr:uid="{E4BCA2AF-693C-49BD-9812-24B6F5B03BCC}">
          <x14:formula1>
            <xm:f>'Base données formats'!$A$16:$A$17</xm:f>
          </x14:formula1>
          <xm:sqref>B5:B6</xm:sqref>
        </x14:dataValidation>
        <x14:dataValidation type="list" allowBlank="1" showInputMessage="1" showErrorMessage="1" xr:uid="{F2ED4939-76FA-42FA-B301-823A604219E4}">
          <x14:formula1>
            <xm:f>'Base données formats'!$A$21:$A$69</xm:f>
          </x14:formula1>
          <xm:sqref>B14:B36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9D63-A58D-4965-B588-361FF1A5324A}">
  <sheetPr codeName="Feuil10">
    <pageSetUpPr fitToPage="1"/>
  </sheetPr>
  <dimension ref="A1:H54"/>
  <sheetViews>
    <sheetView showGridLines="0" zoomScale="70" zoomScaleNormal="70" workbookViewId="0"/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1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1" customHeight="1" x14ac:dyDescent="0.3">
      <c r="A13" s="450"/>
      <c r="B13" s="217" t="s">
        <v>135</v>
      </c>
      <c r="C13" s="246" t="str">
        <f>VLOOKUP(B13,Tableau16[],8,FALSE)</f>
        <v>Vert</v>
      </c>
      <c r="D13" s="218">
        <f>VLOOKUP(B13,Tableau16[],14,FALSE)</f>
        <v>30.6</v>
      </c>
      <c r="E13" s="219">
        <v>0.11</v>
      </c>
      <c r="F13" s="219">
        <v>0.11</v>
      </c>
      <c r="G13" s="220" t="str">
        <f>VLOOKUP(B13,Tableau16[],10,FALSE)</f>
        <v>Mouffette / Diesel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0.1</v>
      </c>
      <c r="F14" s="219">
        <v>0.13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142</v>
      </c>
      <c r="C16" s="221" t="str">
        <f>VLOOKUP(B16,Tableau16[],8,FALSE)</f>
        <v>5 Points Cannabis</v>
      </c>
      <c r="D16" s="218">
        <f>VLOOKUP(B16,Tableau16[],14,FALSE)</f>
        <v>27.6</v>
      </c>
      <c r="E16" s="219">
        <v>0.09</v>
      </c>
      <c r="F16" s="219">
        <v>0.11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137</v>
      </c>
      <c r="C17" s="221" t="str">
        <f>VLOOKUP(B17,Tableau16[],8,FALSE)</f>
        <v>Solei</v>
      </c>
      <c r="D17" s="218">
        <f>VLOOKUP(B17,Tableau16[],14,FALSE)</f>
        <v>22.1</v>
      </c>
      <c r="E17" s="219">
        <v>0.08</v>
      </c>
      <c r="F17" s="219">
        <v>0.1</v>
      </c>
      <c r="G17" s="220" t="str">
        <f>VLOOKUP(B17,Tableau16[],10,FALSE)</f>
        <v>Citronné / Épicé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131</v>
      </c>
      <c r="C18" s="221" t="str">
        <f>VLOOKUP(B18,Tableau16[],8,FALSE)</f>
        <v>Orchid</v>
      </c>
      <c r="D18" s="218">
        <f>VLOOKUP(B18,Tableau16[],14,FALSE)</f>
        <v>25.6</v>
      </c>
      <c r="E18" s="219">
        <v>0.08</v>
      </c>
      <c r="F18" s="219">
        <v>0.11</v>
      </c>
      <c r="G18" s="220" t="str">
        <f>VLOOKUP(B18,Tableau16[],10,FALSE)</f>
        <v>Fruité / Sucré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7.0000000000000007E-2</v>
      </c>
      <c r="F20" s="219">
        <v>0.06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153</v>
      </c>
      <c r="C21" s="221" t="str">
        <f>VLOOKUP(B21,Tableau16[],8,FALSE)</f>
        <v>Fuga</v>
      </c>
      <c r="D21" s="218">
        <f>VLOOKUP(B21,Tableau16[],14,FALSE)</f>
        <v>26</v>
      </c>
      <c r="E21" s="219">
        <v>0.06</v>
      </c>
      <c r="F21" s="219">
        <v>7.0000000000000007E-2</v>
      </c>
      <c r="G21" s="220" t="str">
        <f>VLOOKUP(B21,Tableau16[],10,FALSE)</f>
        <v>-</v>
      </c>
      <c r="H21" s="218" t="str">
        <f>VLOOKUP(B21,Tableau16[],4,FALSE)</f>
        <v>Qc</v>
      </c>
    </row>
    <row r="22" spans="1:8" ht="24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0.06</v>
      </c>
      <c r="F22" s="219">
        <v>0.09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154</v>
      </c>
      <c r="C23" s="221" t="str">
        <f>VLOOKUP(B23,Tableau16[],8,FALSE)</f>
        <v>Canna Farms</v>
      </c>
      <c r="D23" s="218">
        <f>VLOOKUP(B23,Tableau16[],14,FALSE)</f>
        <v>30.6</v>
      </c>
      <c r="E23" s="219">
        <v>0.06</v>
      </c>
      <c r="F23" s="219">
        <v>0.1</v>
      </c>
      <c r="G23" s="220" t="str">
        <f>VLOOKUP(B23,Tableau16[],10,FALSE)</f>
        <v>Fruité / Boisé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155</v>
      </c>
      <c r="C24" s="221" t="str">
        <f>VLOOKUP(B24,Tableau16[],8,FALSE)</f>
        <v>Color Cannabis</v>
      </c>
      <c r="D24" s="218">
        <f>VLOOKUP(B24,Tableau16[],14,FALSE)</f>
        <v>29.7</v>
      </c>
      <c r="E24" s="219">
        <v>0</v>
      </c>
      <c r="F24" s="219">
        <v>0.08</v>
      </c>
      <c r="G24" s="220" t="str">
        <f>VLOOKUP(B24,Tableau16[],10,FALSE)</f>
        <v>Boisé / Épicé</v>
      </c>
      <c r="H24" s="218" t="str">
        <f>VLOOKUP(B24,Tableau16[],4,FALSE)</f>
        <v>-</v>
      </c>
    </row>
    <row r="25" spans="1:8" ht="24" customHeight="1" x14ac:dyDescent="0.3">
      <c r="A25" s="450"/>
      <c r="B25" s="217" t="s">
        <v>151</v>
      </c>
      <c r="C25" s="221" t="str">
        <f>VLOOKUP(B25,Tableau16[],8,FALSE)</f>
        <v>De La Ferme</v>
      </c>
      <c r="D25" s="218">
        <f>VLOOKUP(B25,Tableau16[],14,FALSE)</f>
        <v>17.3</v>
      </c>
      <c r="E25" s="219">
        <v>0</v>
      </c>
      <c r="F25" s="219">
        <v>0.12</v>
      </c>
      <c r="G25" s="220" t="str">
        <f>VLOOKUP(B25,Tableau16[],10,FALSE)</f>
        <v>Épicé / FLoral</v>
      </c>
      <c r="H25" s="218" t="str">
        <f>VLOOKUP(B25,Tableau16[],4,FALSE)</f>
        <v>Qc</v>
      </c>
    </row>
    <row r="26" spans="1:8" ht="24" customHeight="1" x14ac:dyDescent="0.3">
      <c r="A26" s="450"/>
      <c r="B26" s="217" t="s">
        <v>156</v>
      </c>
      <c r="C26" s="221" t="str">
        <f>VLOOKUP(B26,Tableau16[],8,FALSE)</f>
        <v>Vert</v>
      </c>
      <c r="D26" s="218">
        <f>VLOOKUP(B26,Tableau16[],14,FALSE)</f>
        <v>30.6</v>
      </c>
      <c r="E26" s="219">
        <v>0</v>
      </c>
      <c r="F26" s="219">
        <v>0.12</v>
      </c>
      <c r="G26" s="220" t="str">
        <f>VLOOKUP(B26,Tableau16[],10,FALSE)</f>
        <v>Boisé / Terreux</v>
      </c>
      <c r="H26" s="218" t="str">
        <f>VLOOKUP(B26,Tableau16[],4,FALSE)</f>
        <v>Qc</v>
      </c>
    </row>
    <row r="27" spans="1:8" ht="24" customHeight="1" thickBot="1" x14ac:dyDescent="0.35">
      <c r="A27" s="451"/>
      <c r="B27" s="256" t="s">
        <v>145</v>
      </c>
      <c r="C27" s="257" t="str">
        <f>VLOOKUP(B27,Tableau16[],8,FALSE)</f>
        <v>Canna Farms</v>
      </c>
      <c r="D27" s="258">
        <f>VLOOKUP(B27,Tableau16[],14,FALSE)</f>
        <v>30.6</v>
      </c>
      <c r="E27" s="259">
        <v>0</v>
      </c>
      <c r="F27" s="259">
        <v>0.17</v>
      </c>
      <c r="G27" s="260" t="str">
        <f>VLOOKUP(B27,Tableau16[],10,FALSE)</f>
        <v>Fruité / Boisé</v>
      </c>
      <c r="H27" s="258" t="str">
        <f>VLOOKUP(B27,Tableau16[],4,FALSE)</f>
        <v>-</v>
      </c>
    </row>
    <row r="28" spans="1:8" ht="9.75" customHeight="1" x14ac:dyDescent="0.3">
      <c r="A28" s="183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9"/>
      <c r="C33" s="173"/>
      <c r="D33" s="174"/>
      <c r="E33" s="184"/>
      <c r="F33" s="8"/>
      <c r="G33" s="8"/>
    </row>
    <row r="34" spans="1:7" ht="8.25" customHeight="1" x14ac:dyDescent="0.3">
      <c r="A34" s="4"/>
      <c r="B34" s="61"/>
      <c r="C34" s="61"/>
      <c r="D34" s="61"/>
      <c r="E34" s="61"/>
      <c r="F34" s="61"/>
      <c r="G34" s="61"/>
    </row>
    <row r="35" spans="1:7" ht="39" customHeight="1" x14ac:dyDescent="0.3">
      <c r="A35" s="61"/>
      <c r="B35" s="176"/>
      <c r="C35" s="176"/>
      <c r="D35" s="177"/>
      <c r="E35" s="11"/>
      <c r="F35" s="11"/>
      <c r="G35" s="177"/>
    </row>
    <row r="36" spans="1:7" ht="19.5" customHeight="1" x14ac:dyDescent="0.3">
      <c r="A36" s="175"/>
      <c r="B36" s="170"/>
      <c r="C36" s="170"/>
      <c r="D36" s="171"/>
      <c r="E36" s="179"/>
      <c r="F36" s="172"/>
      <c r="G36" s="169"/>
    </row>
    <row r="37" spans="1:7" ht="19.5" customHeight="1" x14ac:dyDescent="0.3">
      <c r="A37" s="169"/>
      <c r="B37" s="170"/>
      <c r="C37" s="169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70"/>
      <c r="D39" s="171"/>
      <c r="E39" s="179"/>
      <c r="F39" s="172"/>
      <c r="G39" s="169"/>
    </row>
    <row r="40" spans="1:7" ht="19.5" customHeight="1" x14ac:dyDescent="0.3">
      <c r="A40" s="169"/>
      <c r="B40" s="4"/>
      <c r="C40" s="4"/>
      <c r="D40" s="167"/>
      <c r="E40" s="185"/>
      <c r="F40" s="198"/>
      <c r="G40" s="4"/>
    </row>
    <row r="41" spans="1:7" ht="33.75" x14ac:dyDescent="0.3">
      <c r="A41" s="169"/>
      <c r="B41" s="61"/>
      <c r="C41" s="61"/>
      <c r="D41" s="61"/>
      <c r="E41" s="61"/>
      <c r="F41" s="61"/>
      <c r="G41" s="61"/>
    </row>
    <row r="42" spans="1:7" ht="39.75" customHeight="1" x14ac:dyDescent="0.3">
      <c r="A42" s="61"/>
      <c r="B42" s="176"/>
      <c r="C42" s="176"/>
      <c r="D42" s="178"/>
      <c r="E42" s="11"/>
      <c r="F42" s="11"/>
      <c r="G42" s="177"/>
    </row>
    <row r="43" spans="1:7" x14ac:dyDescent="0.3">
      <c r="A43" s="175"/>
      <c r="B43" s="170"/>
      <c r="C43" s="170"/>
      <c r="D43" s="171"/>
      <c r="E43" s="186"/>
      <c r="F43" s="186"/>
      <c r="G43" s="171"/>
    </row>
    <row r="44" spans="1:7" x14ac:dyDescent="0.3">
      <c r="A44" s="169"/>
      <c r="B44" s="170"/>
      <c r="C44" s="170"/>
      <c r="D44" s="180"/>
      <c r="E44" s="179"/>
      <c r="F44" s="172"/>
      <c r="G44" s="171"/>
    </row>
    <row r="45" spans="1:7" x14ac:dyDescent="0.3">
      <c r="A45" s="169"/>
      <c r="B45" s="170"/>
      <c r="C45" s="169"/>
      <c r="D45" s="171"/>
      <c r="E45" s="179"/>
      <c r="F45" s="172"/>
      <c r="G45" s="171"/>
    </row>
    <row r="46" spans="1:7" x14ac:dyDescent="0.3">
      <c r="A46" s="169"/>
      <c r="B46" s="170"/>
      <c r="C46" s="170"/>
      <c r="D46" s="171"/>
      <c r="E46" s="179"/>
      <c r="F46" s="172"/>
      <c r="G46" s="171"/>
    </row>
    <row r="47" spans="1:7" x14ac:dyDescent="0.3">
      <c r="A47" s="169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6"/>
      <c r="D53" s="166"/>
      <c r="E53" s="181"/>
      <c r="F53" s="181"/>
      <c r="G53" s="5"/>
    </row>
    <row r="54" spans="1:7" x14ac:dyDescent="0.3">
      <c r="A5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7"/>
  </mergeCells>
  <conditionalFormatting sqref="C53:C1048576 C1">
    <cfRule type="cellIs" dxfId="17" priority="1" operator="equal">
      <formula>0</formula>
    </cfRule>
  </conditionalFormatting>
  <dataValidations count="2">
    <dataValidation type="list" allowBlank="1" showInputMessage="1" showErrorMessage="1" sqref="B1:C1" xr:uid="{7B6E2361-9F86-41C7-8596-78143C35BB6B}">
      <formula1>hybride1</formula1>
    </dataValidation>
    <dataValidation type="list" allowBlank="1" showInputMessage="1" showErrorMessage="1" sqref="C37:C39 C43:C46" xr:uid="{43A05AA7-5197-49B2-84ED-5681598B34BE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outon 2">
              <controlPr defaultSize="0" print="0" autoFill="0" autoPict="0" macro="[0]!tri_77010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imp_77010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50835A-5850-4488-A443-2A1643421E2B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F151257A-975E-457D-B9A0-A05BC11FBD3C}">
          <x14:formula1>
            <xm:f>'Base données formats'!$A$21:$A$69</xm:f>
          </x14:formula1>
          <xm:sqref>B13:B27</xm:sqref>
        </x14:dataValidation>
        <x14:dataValidation type="list" allowBlank="1" showInputMessage="1" showErrorMessage="1" xr:uid="{588DEAFB-582F-4EE1-B055-B8D710C2D65A}">
          <x14:formula1>
            <xm:f>'Base données formats'!$A$4:$A$12</xm:f>
          </x14:formula1>
          <xm:sqref>B8:B11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416B5-8D08-4BA8-A700-75AD933D49AE}">
  <sheetPr codeName="Feuil21">
    <pageSetUpPr fitToPage="1"/>
  </sheetPr>
  <dimension ref="A1:H65"/>
  <sheetViews>
    <sheetView showGridLines="0" zoomScale="70" zoomScaleNormal="70" workbookViewId="0"/>
  </sheetViews>
  <sheetFormatPr baseColWidth="10" defaultColWidth="11.42578125" defaultRowHeight="17.25" x14ac:dyDescent="0.3"/>
  <cols>
    <col min="1" max="1" width="6.28515625" style="1" bestFit="1" customWidth="1"/>
    <col min="2" max="2" width="75.28515625" style="1" bestFit="1" customWidth="1"/>
    <col min="3" max="3" width="34.8554687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2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57" t="s">
        <v>152</v>
      </c>
      <c r="B2" s="458"/>
      <c r="C2" s="458"/>
      <c r="D2" s="458"/>
      <c r="E2" s="458"/>
      <c r="F2" s="458"/>
      <c r="G2" s="458"/>
      <c r="H2" s="459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0.04</v>
      </c>
      <c r="F4" s="231">
        <v>0.14000000000000001</v>
      </c>
      <c r="G4" s="229" t="str">
        <f>VLOOKUP(B4,Tableau15[],10,FALSE)</f>
        <v>Épicé / Fruité</v>
      </c>
      <c r="H4" s="275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x14ac:dyDescent="0.3">
      <c r="A8" s="447"/>
      <c r="B8" s="298" t="s">
        <v>126</v>
      </c>
      <c r="C8" s="289" t="str">
        <f>VLOOKUP(B8,Tableau14[],8,FALSE)</f>
        <v>Wio</v>
      </c>
      <c r="D8" s="300">
        <f>VLOOKUP(B8,Tableau14[],14,FALSE)</f>
        <v>33.9</v>
      </c>
      <c r="E8" s="299">
        <v>0.09</v>
      </c>
      <c r="F8" s="231">
        <v>0.13</v>
      </c>
      <c r="G8" s="301" t="str">
        <f>VLOOKUP(B8,Tableau14[],10,FALSE)</f>
        <v>Citronné / Sucré</v>
      </c>
      <c r="H8" s="277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97" t="str">
        <f>VLOOKUP(B9,Tableau14[],8,FALSE)</f>
        <v>Trailblazer</v>
      </c>
      <c r="D9" s="262">
        <f>VLOOKUP(B9,Tableau14[],14,FALSE)</f>
        <v>22.9</v>
      </c>
      <c r="E9" s="255">
        <v>0.04</v>
      </c>
      <c r="F9" s="222">
        <v>7.0000000000000007E-2</v>
      </c>
      <c r="G9" s="222" t="str">
        <f>VLOOKUP(B9,Tableau14[],10,FALSE)</f>
        <v>Fruité / Sucré</v>
      </c>
      <c r="H9" s="218" t="str">
        <f>VLOOKUP(B9,Tableau14[],4,FALSE)</f>
        <v>-</v>
      </c>
    </row>
    <row r="10" spans="1:8" ht="27" customHeight="1" x14ac:dyDescent="0.3">
      <c r="A10" s="447"/>
      <c r="B10" s="253" t="s">
        <v>157</v>
      </c>
      <c r="C10" s="218" t="str">
        <f>VLOOKUP(B10,Tableau14[],8,FALSE)</f>
        <v>Terroir</v>
      </c>
      <c r="D10" s="218">
        <f>VLOOKUP(B10,Tableau14[],14,FALSE)</f>
        <v>27.5</v>
      </c>
      <c r="E10" s="255">
        <v>0</v>
      </c>
      <c r="F10" s="222">
        <v>0.12</v>
      </c>
      <c r="G10" s="222" t="str">
        <f>VLOOKUP(B10,Tableau14[],10,FALSE)</f>
        <v>Épicé / Boisé</v>
      </c>
      <c r="H10" s="218" t="str">
        <f>VLOOKUP(B10,Tableau14[],4,FALSE)</f>
        <v>Qc</v>
      </c>
    </row>
    <row r="11" spans="1:8" ht="27" customHeight="1" thickBot="1" x14ac:dyDescent="0.35">
      <c r="A11" s="447"/>
      <c r="B11" s="247" t="s">
        <v>128</v>
      </c>
      <c r="C11" s="250" t="str">
        <f>VLOOKUP(B11,Tableau14[],8,FALSE)</f>
        <v>Solei</v>
      </c>
      <c r="D11" s="250">
        <f>VLOOKUP(B11,Tableau14[],14,FALSE)</f>
        <v>27</v>
      </c>
      <c r="E11" s="248">
        <v>0</v>
      </c>
      <c r="F11" s="249">
        <v>0.15</v>
      </c>
      <c r="G11" s="251" t="str">
        <f>VLOOKUP(B11,Tableau14[],10,FALSE)</f>
        <v>Mouffette / Épicé</v>
      </c>
      <c r="H11" s="250" t="str">
        <f>VLOOKUP(B11,Tableau14[],4,FALSE)</f>
        <v>-</v>
      </c>
    </row>
    <row r="12" spans="1:8" ht="13.5" customHeight="1" thickBot="1" x14ac:dyDescent="0.35">
      <c r="A12" s="245"/>
      <c r="B12" s="243"/>
      <c r="C12" s="205"/>
      <c r="D12" s="205"/>
      <c r="E12" s="206"/>
      <c r="F12" s="244"/>
      <c r="G12" s="205"/>
    </row>
    <row r="13" spans="1:8" ht="21" customHeight="1" thickBot="1" x14ac:dyDescent="0.35">
      <c r="A13" s="449" t="s">
        <v>129</v>
      </c>
      <c r="B13" s="190" t="s">
        <v>130</v>
      </c>
      <c r="C13" s="182" t="s">
        <v>4</v>
      </c>
      <c r="D13" s="191" t="s">
        <v>6</v>
      </c>
      <c r="E13" s="192" t="s">
        <v>40</v>
      </c>
      <c r="F13" s="226" t="s">
        <v>41</v>
      </c>
      <c r="G13" s="192" t="s">
        <v>122</v>
      </c>
      <c r="H13" s="227" t="s">
        <v>123</v>
      </c>
    </row>
    <row r="14" spans="1:8" ht="24" customHeight="1" x14ac:dyDescent="0.3">
      <c r="A14" s="450"/>
      <c r="B14" s="217" t="s">
        <v>131</v>
      </c>
      <c r="C14" s="221" t="str">
        <f>VLOOKUP(B14,Tableau16[],8,FALSE)</f>
        <v>Orchid</v>
      </c>
      <c r="D14" s="218">
        <f>VLOOKUP(B14,Tableau16[],14,FALSE)</f>
        <v>25.6</v>
      </c>
      <c r="E14" s="219">
        <v>0.11</v>
      </c>
      <c r="F14" s="219">
        <v>7.0000000000000007E-2</v>
      </c>
      <c r="G14" s="220" t="str">
        <f>VLOOKUP(B14,Tableau16[],10,FALSE)</f>
        <v>Fruité / Sucré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132</v>
      </c>
      <c r="C15" s="221" t="str">
        <f>VLOOKUP(B15,Tableau16[],8,FALSE)</f>
        <v>Clem &amp; Co</v>
      </c>
      <c r="D15" s="218">
        <f>VLOOKUP(B15,Tableau16[],14,FALSE)</f>
        <v>29.9</v>
      </c>
      <c r="E15" s="219">
        <v>0.11</v>
      </c>
      <c r="F15" s="219">
        <v>0.15</v>
      </c>
      <c r="G15" s="220" t="str">
        <f>VLOOKUP(B15,Tableau16[],10,FALSE)</f>
        <v>Fruité / Floral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133</v>
      </c>
      <c r="C16" s="221" t="str">
        <f>VLOOKUP(B16,Tableau16[],8,FALSE)</f>
        <v>Endo</v>
      </c>
      <c r="D16" s="218">
        <f>VLOOKUP(B16,Tableau16[],14,FALSE)</f>
        <v>29.9</v>
      </c>
      <c r="E16" s="219">
        <v>0.1</v>
      </c>
      <c r="F16" s="219">
        <v>0.08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135</v>
      </c>
      <c r="C17" s="273" t="str">
        <f>VLOOKUP(B17,Tableau16[],8,FALSE)</f>
        <v>Vert</v>
      </c>
      <c r="D17" s="218">
        <f>VLOOKUP(B17,Tableau16[],14,FALSE)</f>
        <v>30.6</v>
      </c>
      <c r="E17" s="219">
        <v>0.1</v>
      </c>
      <c r="F17" s="219">
        <v>0.13</v>
      </c>
      <c r="G17" s="220" t="str">
        <f>VLOOKUP(B17,Tableau16[],10,FALSE)</f>
        <v>Mouffette / Diesel</v>
      </c>
      <c r="H17" s="218" t="str">
        <f>VLOOKUP(B17,Tableau16[],4,FALSE)</f>
        <v>Qc</v>
      </c>
    </row>
    <row r="18" spans="1:8" ht="24" customHeight="1" x14ac:dyDescent="0.3">
      <c r="A18" s="450"/>
      <c r="B18" s="217" t="s">
        <v>134</v>
      </c>
      <c r="C18" s="221" t="str">
        <f>VLOOKUP(B18,Tableau16[],8,FALSE)</f>
        <v>Simply Bare</v>
      </c>
      <c r="D18" s="218">
        <f>VLOOKUP(B18,Tableau16[],14,FALSE)</f>
        <v>42.8</v>
      </c>
      <c r="E18" s="219">
        <v>0.09</v>
      </c>
      <c r="F18" s="219">
        <v>0.12</v>
      </c>
      <c r="G18" s="220" t="str">
        <f>VLOOKUP(B18,Tableau16[],10,FALSE)</f>
        <v>Terreux / Sucré</v>
      </c>
      <c r="H18" s="218" t="str">
        <f>VLOOKUP(B18,Tableau16[],4,FALSE)</f>
        <v>-</v>
      </c>
    </row>
    <row r="19" spans="1:8" ht="24" customHeight="1" x14ac:dyDescent="0.3">
      <c r="A19" s="450"/>
      <c r="B19" s="217" t="s">
        <v>158</v>
      </c>
      <c r="C19" s="221" t="str">
        <f>VLOOKUP(B19,Tableau16[],8,FALSE)</f>
        <v>Nordique Royale</v>
      </c>
      <c r="D19" s="218">
        <f>VLOOKUP(B19,Tableau16[],14,FALSE)</f>
        <v>29.9</v>
      </c>
      <c r="E19" s="219">
        <v>0.09</v>
      </c>
      <c r="F19" s="219">
        <v>0.13</v>
      </c>
      <c r="G19" s="220" t="str">
        <f>VLOOKUP(B19,Tableau16[],10,FALSE)</f>
        <v>Fruité / Floral</v>
      </c>
      <c r="H19" s="218" t="str">
        <f>VLOOKUP(B19,Tableau16[],4,FALSE)</f>
        <v>Qc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0.08</v>
      </c>
      <c r="F20" s="219">
        <v>0.08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137</v>
      </c>
      <c r="C21" s="221" t="str">
        <f>VLOOKUP(B21,Tableau16[],8,FALSE)</f>
        <v>Solei</v>
      </c>
      <c r="D21" s="218">
        <f>VLOOKUP(B21,Tableau16[],14,FALSE)</f>
        <v>22.1</v>
      </c>
      <c r="E21" s="219">
        <v>0.08</v>
      </c>
      <c r="F21" s="219">
        <v>0.09</v>
      </c>
      <c r="G21" s="220" t="str">
        <f>VLOOKUP(B21,Tableau16[],10,FALSE)</f>
        <v>Citronné / Épicé</v>
      </c>
      <c r="H21" s="218" t="str">
        <f>VLOOKUP(B21,Tableau16[],4,FALSE)</f>
        <v>-</v>
      </c>
    </row>
    <row r="22" spans="1:8" ht="24" customHeight="1" x14ac:dyDescent="0.3">
      <c r="A22" s="450"/>
      <c r="B22" s="217" t="s">
        <v>138</v>
      </c>
      <c r="C22" s="221" t="str">
        <f>VLOOKUP(B22,Tableau16[],8,FALSE)</f>
        <v>Promenade</v>
      </c>
      <c r="D22" s="218">
        <f>VLOOKUP(B22,Tableau16[],14,FALSE)</f>
        <v>19.3</v>
      </c>
      <c r="E22" s="219">
        <v>0.08</v>
      </c>
      <c r="F22" s="219">
        <v>0.11</v>
      </c>
      <c r="G22" s="220" t="str">
        <f>VLOOKUP(B22,Tableau16[],10,FALSE)</f>
        <v>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139</v>
      </c>
      <c r="C23" s="221" t="str">
        <f>VLOOKUP(B23,Tableau16[],8,FALSE)</f>
        <v>Twd.</v>
      </c>
      <c r="D23" s="218">
        <f>VLOOKUP(B23,Tableau16[],14,FALSE)</f>
        <v>21.2</v>
      </c>
      <c r="E23" s="219">
        <v>7.0000000000000007E-2</v>
      </c>
      <c r="F23" s="219">
        <v>0.06</v>
      </c>
      <c r="G23" s="220" t="str">
        <f>VLOOKUP(B23,Tableau16[],10,FALSE)</f>
        <v>-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159</v>
      </c>
      <c r="C24" s="221" t="str">
        <f>VLOOKUP(B24,Tableau16[],8,FALSE)</f>
        <v>Groupe SûrNaturel</v>
      </c>
      <c r="D24" s="218">
        <f>VLOOKUP(B24,Tableau16[],14,FALSE)</f>
        <v>25.1</v>
      </c>
      <c r="E24" s="219">
        <v>7.0000000000000007E-2</v>
      </c>
      <c r="F24" s="219">
        <v>0.08</v>
      </c>
      <c r="G24" s="220" t="str">
        <f>VLOOKUP(B24,Tableau16[],10,FALSE)</f>
        <v>Épicé / Floral</v>
      </c>
      <c r="H24" s="218" t="str">
        <f>VLOOKUP(B24,Tableau16[],4,FALSE)</f>
        <v>Qc</v>
      </c>
    </row>
    <row r="25" spans="1:8" ht="24" customHeight="1" x14ac:dyDescent="0.3">
      <c r="A25" s="450"/>
      <c r="B25" s="217" t="s">
        <v>140</v>
      </c>
      <c r="C25" s="221" t="str">
        <f>VLOOKUP(B25,Tableau16[],8,FALSE)</f>
        <v>Redecan</v>
      </c>
      <c r="D25" s="218">
        <f>VLOOKUP(B25,Tableau16[],14,FALSE)</f>
        <v>22.2</v>
      </c>
      <c r="E25" s="219">
        <v>7.0000000000000007E-2</v>
      </c>
      <c r="F25" s="219">
        <v>0.1</v>
      </c>
      <c r="G25" s="220" t="str">
        <f>VLOOKUP(B25,Tableau16[],10,FALSE)</f>
        <v>- / -</v>
      </c>
      <c r="H25" s="218" t="str">
        <f>VLOOKUP(B25,Tableau16[],4,FALSE)</f>
        <v>-</v>
      </c>
    </row>
    <row r="26" spans="1:8" ht="24" customHeight="1" x14ac:dyDescent="0.3">
      <c r="A26" s="450"/>
      <c r="B26" s="217" t="s">
        <v>141</v>
      </c>
      <c r="C26" s="221" t="str">
        <f>VLOOKUP(B26,Tableau16[],8,FALSE)</f>
        <v>Color Cannabis</v>
      </c>
      <c r="D26" s="218">
        <f>VLOOKUP(B26,Tableau16[],14,FALSE)</f>
        <v>29.7</v>
      </c>
      <c r="E26" s="219">
        <v>0.06</v>
      </c>
      <c r="F26" s="219">
        <v>7.0000000000000007E-2</v>
      </c>
      <c r="G26" s="220" t="str">
        <f>VLOOKUP(B26,Tableau16[],10,FALSE)</f>
        <v>Floral / Fruité</v>
      </c>
      <c r="H26" s="218" t="str">
        <f>VLOOKUP(B26,Tableau16[],4,FALSE)</f>
        <v>-</v>
      </c>
    </row>
    <row r="27" spans="1:8" ht="24" customHeight="1" x14ac:dyDescent="0.3">
      <c r="A27" s="450"/>
      <c r="B27" s="217" t="s">
        <v>142</v>
      </c>
      <c r="C27" s="221" t="str">
        <f>VLOOKUP(B27,Tableau16[],8,FALSE)</f>
        <v>5 Points Cannabis</v>
      </c>
      <c r="D27" s="218">
        <f>VLOOKUP(B27,Tableau16[],14,FALSE)</f>
        <v>27.6</v>
      </c>
      <c r="E27" s="219">
        <v>0.06</v>
      </c>
      <c r="F27" s="219">
        <v>0.08</v>
      </c>
      <c r="G27" s="220" t="str">
        <f>VLOOKUP(B27,Tableau16[],10,FALSE)</f>
        <v>Fruité / Citronné</v>
      </c>
      <c r="H27" s="218" t="str">
        <f>VLOOKUP(B27,Tableau16[],4,FALSE)</f>
        <v>Qc</v>
      </c>
    </row>
    <row r="28" spans="1:8" ht="24" customHeight="1" x14ac:dyDescent="0.3">
      <c r="A28" s="450"/>
      <c r="B28" s="217" t="s">
        <v>143</v>
      </c>
      <c r="C28" s="221" t="str">
        <f>VLOOKUP(B28,Tableau16[],8,FALSE)</f>
        <v>Bud Lafleur</v>
      </c>
      <c r="D28" s="218">
        <f>VLOOKUP(B28,Tableau16[],14,FALSE)</f>
        <v>27</v>
      </c>
      <c r="E28" s="219">
        <v>0.04</v>
      </c>
      <c r="F28" s="219">
        <v>0.06</v>
      </c>
      <c r="G28" s="220" t="str">
        <f>VLOOKUP(B28,Tableau16[],10,FALSE)</f>
        <v>Fruité / Sucré</v>
      </c>
      <c r="H28" s="218" t="str">
        <f>VLOOKUP(B28,Tableau16[],4,FALSE)</f>
        <v>Qc</v>
      </c>
    </row>
    <row r="29" spans="1:8" ht="23.25" customHeight="1" x14ac:dyDescent="0.3">
      <c r="A29" s="450"/>
      <c r="B29" s="217" t="s">
        <v>151</v>
      </c>
      <c r="C29" s="221" t="str">
        <f>VLOOKUP(B29,Tableau16[],8,FALSE)</f>
        <v>De La Ferme</v>
      </c>
      <c r="D29" s="218">
        <f>VLOOKUP(B29,Tableau16[],14,FALSE)</f>
        <v>17.3</v>
      </c>
      <c r="E29" s="219">
        <v>0</v>
      </c>
      <c r="F29" s="219">
        <v>0.1</v>
      </c>
      <c r="G29" s="220" t="str">
        <f>VLOOKUP(B29,Tableau16[],10,FALSE)</f>
        <v>Épicé / FLoral</v>
      </c>
      <c r="H29" s="218" t="str">
        <f>VLOOKUP(B29,Tableau16[],4,FALSE)</f>
        <v>Qc</v>
      </c>
    </row>
    <row r="30" spans="1:8" ht="24" customHeight="1" x14ac:dyDescent="0.3">
      <c r="A30" s="450"/>
      <c r="B30" s="217" t="s">
        <v>149</v>
      </c>
      <c r="C30" s="221" t="str">
        <f>VLOOKUP(B30,Tableau16[],8,FALSE)</f>
        <v>Équilibre</v>
      </c>
      <c r="D30" s="218">
        <f>VLOOKUP(B30,Tableau16[],14,FALSE)</f>
        <v>22.3</v>
      </c>
      <c r="E30" s="219">
        <v>0</v>
      </c>
      <c r="F30" s="219">
        <v>0.11</v>
      </c>
      <c r="G30" s="220" t="str">
        <f>VLOOKUP(B30,Tableau16[],10,FALSE)</f>
        <v>-</v>
      </c>
      <c r="H30" s="218" t="str">
        <f>VLOOKUP(B30,Tableau16[],4,FALSE)</f>
        <v>Qc</v>
      </c>
    </row>
    <row r="31" spans="1:8" ht="24" customHeight="1" x14ac:dyDescent="0.3">
      <c r="A31" s="450"/>
      <c r="B31" s="217" t="s">
        <v>146</v>
      </c>
      <c r="C31" s="221" t="str">
        <f>VLOOKUP(B31,Tableau16[],8,FALSE)</f>
        <v>Cannabiomedic</v>
      </c>
      <c r="D31" s="218">
        <f>VLOOKUP(B31,Tableau16[],14,FALSE)</f>
        <v>27.6</v>
      </c>
      <c r="E31" s="219">
        <v>0</v>
      </c>
      <c r="F31" s="219">
        <v>0.14000000000000001</v>
      </c>
      <c r="G31" s="220" t="str">
        <f>VLOOKUP(B31,Tableau16[],10,FALSE)</f>
        <v>-</v>
      </c>
      <c r="H31" s="218" t="str">
        <f>VLOOKUP(B31,Tableau16[],4,FALSE)</f>
        <v>Qc</v>
      </c>
    </row>
    <row r="32" spans="1:8" ht="24" customHeight="1" x14ac:dyDescent="0.3">
      <c r="A32" s="450"/>
      <c r="B32" s="217" t="s">
        <v>150</v>
      </c>
      <c r="C32" s="221" t="str">
        <f>VLOOKUP(B32,Tableau16[],8,FALSE)</f>
        <v>Lunaire</v>
      </c>
      <c r="D32" s="218">
        <f>VLOOKUP(B32,Tableau16[],14,FALSE)</f>
        <v>25.8</v>
      </c>
      <c r="E32" s="219">
        <v>0</v>
      </c>
      <c r="F32" s="219">
        <v>0.14000000000000001</v>
      </c>
      <c r="G32" s="220" t="str">
        <f>VLOOKUP(B32,Tableau16[],10,FALSE)</f>
        <v>Floral / Fruité</v>
      </c>
      <c r="H32" s="218" t="str">
        <f>VLOOKUP(B32,Tableau16[],4,FALSE)</f>
        <v>Qc</v>
      </c>
    </row>
    <row r="33" spans="1:8" ht="24" customHeight="1" x14ac:dyDescent="0.3">
      <c r="A33" s="450"/>
      <c r="B33" s="217" t="s">
        <v>144</v>
      </c>
      <c r="C33" s="221" t="str">
        <f>VLOOKUP(B33,Tableau16[],8,FALSE)</f>
        <v>Promenade</v>
      </c>
      <c r="D33" s="218">
        <f>VLOOKUP(B33,Tableau16[],14,FALSE)</f>
        <v>21.4</v>
      </c>
      <c r="E33" s="219">
        <v>0</v>
      </c>
      <c r="F33" s="219">
        <v>0.16</v>
      </c>
      <c r="G33" s="220" t="str">
        <f>VLOOKUP(B33,Tableau16[],10,FALSE)</f>
        <v>Fruité / Floral</v>
      </c>
      <c r="H33" s="218" t="str">
        <f>VLOOKUP(B33,Tableau16[],4,FALSE)</f>
        <v>-</v>
      </c>
    </row>
    <row r="34" spans="1:8" ht="24" customHeight="1" x14ac:dyDescent="0.3">
      <c r="A34" s="450"/>
      <c r="B34" s="217" t="s">
        <v>145</v>
      </c>
      <c r="C34" s="221" t="str">
        <f>VLOOKUP(B34,Tableau16[],8,FALSE)</f>
        <v>Canna Farms</v>
      </c>
      <c r="D34" s="218">
        <f>VLOOKUP(B34,Tableau16[],14,FALSE)</f>
        <v>30.6</v>
      </c>
      <c r="E34" s="219">
        <v>0</v>
      </c>
      <c r="F34" s="219">
        <v>0.17</v>
      </c>
      <c r="G34" s="220" t="str">
        <f>VLOOKUP(B34,Tableau16[],10,FALSE)</f>
        <v>Fruité / Boisé</v>
      </c>
      <c r="H34" s="218" t="str">
        <f>VLOOKUP(B34,Tableau16[],4,FALSE)</f>
        <v>-</v>
      </c>
    </row>
    <row r="35" spans="1:8" ht="24" customHeight="1" x14ac:dyDescent="0.3">
      <c r="A35" s="450"/>
      <c r="B35" s="217" t="s">
        <v>147</v>
      </c>
      <c r="C35" s="221" t="str">
        <f>VLOOKUP(B35,Tableau16[],8,FALSE)</f>
        <v>XK</v>
      </c>
      <c r="D35" s="218">
        <f>VLOOKUP(B35,Tableau16[],14,FALSE)</f>
        <v>27</v>
      </c>
      <c r="E35" s="219">
        <v>0</v>
      </c>
      <c r="F35" s="219">
        <v>0.17</v>
      </c>
      <c r="G35" s="220" t="str">
        <f>VLOOKUP(B35,Tableau16[],10,FALSE)</f>
        <v>Terreux / Citronné</v>
      </c>
      <c r="H35" s="218" t="str">
        <f>VLOOKUP(B35,Tableau16[],4,FALSE)</f>
        <v>-</v>
      </c>
    </row>
    <row r="36" spans="1:8" ht="24" customHeight="1" thickBot="1" x14ac:dyDescent="0.35">
      <c r="A36" s="451"/>
      <c r="B36" s="256" t="s">
        <v>148</v>
      </c>
      <c r="C36" s="257" t="str">
        <f>VLOOKUP(B36,Tableau16[],8,FALSE)</f>
        <v>T'es Dans L'Champ</v>
      </c>
      <c r="D36" s="258">
        <f>VLOOKUP(B36,Tableau16[],14,FALSE)</f>
        <v>19.899999999999999</v>
      </c>
      <c r="E36" s="259">
        <v>0</v>
      </c>
      <c r="F36" s="259">
        <v>0.18</v>
      </c>
      <c r="G36" s="260" t="str">
        <f>VLOOKUP(B36,Tableau16[],10,FALSE)</f>
        <v>-</v>
      </c>
      <c r="H36" s="258" t="str">
        <f>VLOOKUP(B36,Tableau16[],4,FALSE)</f>
        <v>Qc</v>
      </c>
    </row>
    <row r="37" spans="1:8" ht="24" customHeight="1" x14ac:dyDescent="0.3">
      <c r="A37" s="274"/>
      <c r="B37" s="170"/>
      <c r="C37" s="169"/>
      <c r="D37" s="171"/>
      <c r="E37" s="172"/>
      <c r="F37" s="172"/>
      <c r="G37" s="169"/>
    </row>
    <row r="38" spans="1:8" ht="24" customHeight="1" x14ac:dyDescent="0.3">
      <c r="A38" s="274"/>
      <c r="B38" s="170"/>
      <c r="C38" s="169"/>
      <c r="D38" s="171"/>
      <c r="E38" s="172"/>
      <c r="F38" s="172"/>
      <c r="G38" s="169"/>
    </row>
    <row r="39" spans="1:8" ht="9.75" customHeight="1" x14ac:dyDescent="0.3">
      <c r="A39" s="183"/>
      <c r="B39" s="170"/>
      <c r="C39" s="169"/>
      <c r="D39" s="171"/>
      <c r="E39" s="172"/>
      <c r="F39" s="172"/>
      <c r="G39" s="169"/>
    </row>
    <row r="40" spans="1:8" ht="19.5" customHeight="1" x14ac:dyDescent="0.3">
      <c r="A40" s="169"/>
      <c r="B40" s="170"/>
      <c r="C40" s="169"/>
      <c r="D40" s="171"/>
      <c r="E40" s="172"/>
      <c r="F40" s="172"/>
      <c r="G40" s="169"/>
    </row>
    <row r="41" spans="1:8" ht="19.5" customHeight="1" x14ac:dyDescent="0.3">
      <c r="A41" s="169"/>
      <c r="B41" s="170"/>
      <c r="C41" s="169"/>
      <c r="D41" s="171"/>
      <c r="E41" s="172"/>
      <c r="F41" s="172"/>
      <c r="G41" s="169"/>
    </row>
    <row r="42" spans="1:8" ht="19.5" customHeight="1" x14ac:dyDescent="0.3">
      <c r="A42" s="169"/>
      <c r="B42" s="9"/>
      <c r="C42" s="173"/>
      <c r="D42" s="174"/>
      <c r="E42" s="184"/>
      <c r="F42" s="8"/>
      <c r="G42" s="8"/>
    </row>
    <row r="43" spans="1:8" ht="19.5" customHeight="1" x14ac:dyDescent="0.3">
      <c r="A43" s="169"/>
      <c r="B43" s="61"/>
      <c r="C43" s="61"/>
      <c r="D43" s="61"/>
      <c r="E43" s="61"/>
      <c r="F43" s="61"/>
      <c r="G43" s="61"/>
    </row>
    <row r="44" spans="1:8" ht="19.5" customHeight="1" x14ac:dyDescent="0.3">
      <c r="A44" s="169"/>
      <c r="B44" s="176"/>
      <c r="C44" s="176"/>
      <c r="D44" s="177"/>
      <c r="E44" s="11"/>
      <c r="F44" s="11"/>
      <c r="G44" s="177"/>
    </row>
    <row r="45" spans="1:8" ht="8.25" customHeight="1" x14ac:dyDescent="0.3">
      <c r="A45" s="4"/>
      <c r="B45" s="170"/>
      <c r="C45" s="170"/>
      <c r="D45" s="171"/>
      <c r="E45" s="179"/>
      <c r="F45" s="172"/>
      <c r="G45" s="169"/>
    </row>
    <row r="46" spans="1:8" ht="39" customHeight="1" x14ac:dyDescent="0.3">
      <c r="A46" s="61"/>
      <c r="B46" s="170"/>
      <c r="C46" s="169"/>
      <c r="D46" s="171"/>
      <c r="E46" s="179"/>
      <c r="F46" s="172"/>
      <c r="G46" s="169"/>
    </row>
    <row r="47" spans="1:8" ht="19.5" customHeight="1" x14ac:dyDescent="0.3">
      <c r="A47" s="175"/>
      <c r="B47" s="170"/>
      <c r="C47" s="170"/>
      <c r="D47" s="171"/>
      <c r="E47" s="179"/>
      <c r="F47" s="172"/>
      <c r="G47" s="169"/>
    </row>
    <row r="48" spans="1:8" ht="19.5" customHeight="1" x14ac:dyDescent="0.3">
      <c r="A48" s="169"/>
      <c r="B48" s="170"/>
      <c r="C48" s="170"/>
      <c r="D48" s="171"/>
      <c r="E48" s="179"/>
      <c r="F48" s="172"/>
      <c r="G48" s="169"/>
    </row>
    <row r="49" spans="1:7" ht="19.5" customHeight="1" x14ac:dyDescent="0.3">
      <c r="A49" s="169"/>
      <c r="B49" s="4"/>
      <c r="C49" s="4"/>
      <c r="D49" s="167"/>
      <c r="E49" s="185"/>
      <c r="F49" s="198"/>
      <c r="G49" s="4"/>
    </row>
    <row r="50" spans="1:7" ht="19.5" customHeight="1" x14ac:dyDescent="0.3">
      <c r="A50" s="169"/>
      <c r="B50" s="61"/>
      <c r="C50" s="61"/>
      <c r="D50" s="61"/>
      <c r="E50" s="61"/>
      <c r="F50" s="61"/>
      <c r="G50" s="61"/>
    </row>
    <row r="51" spans="1:7" ht="19.5" customHeight="1" x14ac:dyDescent="0.3">
      <c r="A51" s="169"/>
      <c r="B51" s="176"/>
      <c r="C51" s="176"/>
      <c r="D51" s="178"/>
      <c r="E51" s="11"/>
      <c r="F51" s="11"/>
      <c r="G51" s="177"/>
    </row>
    <row r="52" spans="1:7" x14ac:dyDescent="0.3">
      <c r="A52" s="169"/>
      <c r="B52" s="170"/>
      <c r="C52" s="170"/>
      <c r="D52" s="171"/>
      <c r="E52" s="186"/>
      <c r="F52" s="186"/>
      <c r="G52" s="171"/>
    </row>
    <row r="53" spans="1:7" ht="39.75" customHeight="1" x14ac:dyDescent="0.3">
      <c r="A53" s="61"/>
      <c r="B53" s="170"/>
      <c r="C53" s="170"/>
      <c r="D53" s="180"/>
      <c r="E53" s="179"/>
      <c r="F53" s="172"/>
      <c r="G53" s="171"/>
    </row>
    <row r="54" spans="1:7" x14ac:dyDescent="0.3">
      <c r="A54" s="175"/>
      <c r="B54" s="170"/>
      <c r="C54" s="169"/>
      <c r="D54" s="171"/>
      <c r="E54" s="179"/>
      <c r="F54" s="172"/>
      <c r="G54" s="171"/>
    </row>
    <row r="55" spans="1:7" x14ac:dyDescent="0.3">
      <c r="A55" s="169"/>
      <c r="B55" s="170"/>
      <c r="C55" s="170"/>
      <c r="D55" s="171"/>
      <c r="E55" s="179"/>
      <c r="F55" s="172"/>
      <c r="G55" s="171"/>
    </row>
    <row r="56" spans="1:7" x14ac:dyDescent="0.3">
      <c r="A56" s="169"/>
      <c r="B56" s="4"/>
      <c r="C56" s="4"/>
      <c r="D56" s="167"/>
      <c r="E56" s="185"/>
      <c r="F56" s="198"/>
      <c r="G56" s="4"/>
    </row>
    <row r="57" spans="1:7" x14ac:dyDescent="0.3">
      <c r="A57" s="169"/>
      <c r="B57" s="4"/>
      <c r="C57" s="4"/>
      <c r="D57" s="167"/>
      <c r="E57" s="185"/>
      <c r="F57" s="198"/>
      <c r="G57" s="4"/>
    </row>
    <row r="58" spans="1:7" x14ac:dyDescent="0.3">
      <c r="A58" s="169"/>
      <c r="B58" s="4"/>
      <c r="C58" s="4"/>
      <c r="D58" s="167"/>
      <c r="E58" s="185"/>
      <c r="F58" s="198"/>
      <c r="G58" s="4"/>
    </row>
    <row r="59" spans="1:7" x14ac:dyDescent="0.3">
      <c r="A59" s="4"/>
      <c r="B59" s="4"/>
      <c r="C59" s="4"/>
      <c r="D59" s="167"/>
      <c r="E59" s="185"/>
      <c r="F59" s="198"/>
      <c r="G59" s="4"/>
    </row>
    <row r="60" spans="1:7" x14ac:dyDescent="0.3">
      <c r="A60" s="4"/>
      <c r="B60" s="4"/>
      <c r="C60" s="4"/>
      <c r="D60" s="167"/>
      <c r="E60" s="185"/>
      <c r="F60" s="198"/>
      <c r="G60" s="4"/>
    </row>
    <row r="61" spans="1:7" x14ac:dyDescent="0.3">
      <c r="A61" s="4"/>
      <c r="B61" s="4"/>
      <c r="C61" s="4"/>
      <c r="D61" s="167"/>
      <c r="E61" s="185"/>
      <c r="F61" s="198"/>
      <c r="G61" s="4"/>
    </row>
    <row r="62" spans="1:7" x14ac:dyDescent="0.3">
      <c r="A62" s="4"/>
      <c r="B62" s="4"/>
      <c r="C62" s="6"/>
      <c r="D62" s="166"/>
      <c r="E62" s="181"/>
      <c r="F62" s="181"/>
      <c r="G62" s="5"/>
    </row>
    <row r="63" spans="1:7" x14ac:dyDescent="0.3">
      <c r="A63" s="4"/>
    </row>
    <row r="64" spans="1:7" x14ac:dyDescent="0.3">
      <c r="A64" s="4"/>
    </row>
    <row r="65" spans="1:1" x14ac:dyDescent="0.3">
      <c r="A65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1"/>
    <mergeCell ref="A13:A36"/>
  </mergeCells>
  <conditionalFormatting sqref="C62:C1048576 C1">
    <cfRule type="cellIs" dxfId="16" priority="1" operator="equal">
      <formula>0</formula>
    </cfRule>
  </conditionalFormatting>
  <dataValidations count="2">
    <dataValidation type="list" allowBlank="1" showInputMessage="1" showErrorMessage="1" sqref="B1:C1" xr:uid="{D9E02C8C-5D52-4762-9A99-06886868F395}">
      <formula1>hybride1</formula1>
    </dataValidation>
    <dataValidation type="list" allowBlank="1" showInputMessage="1" showErrorMessage="1" sqref="C46:C48 C52:C55" xr:uid="{17771C77-4528-456F-B146-F929F24392B7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59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outon 2">
              <controlPr defaultSize="0" print="0" autoFill="0" autoPict="0" macro="[0]!Module20.tri_77032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imp_77074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930C6BB-2497-4335-AEC0-614817067C06}">
          <x14:formula1>
            <xm:f>'Base données formats'!$A$21:$A$69</xm:f>
          </x14:formula1>
          <xm:sqref>B14:B36</xm:sqref>
        </x14:dataValidation>
        <x14:dataValidation type="list" allowBlank="1" showInputMessage="1" showErrorMessage="1" xr:uid="{2ACA57A2-2B1E-4C4F-BC7B-10D3E6A9315F}">
          <x14:formula1>
            <xm:f>'Base données formats'!$A$4:$A$12</xm:f>
          </x14:formula1>
          <xm:sqref>B8:B12</xm:sqref>
        </x14:dataValidation>
        <x14:dataValidation type="list" allowBlank="1" showInputMessage="1" showErrorMessage="1" xr:uid="{0DB66C7D-9F9D-4BC5-BF03-BBD5ED84794A}">
          <x14:formula1>
            <xm:f>'Base données formats'!$A$16:$A$17</xm:f>
          </x14:formula1>
          <xm:sqref>B4:B5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B70E-147F-4B01-BAFD-39AE91D18DBD}">
  <sheetPr codeName="Feuil11">
    <pageSetUpPr fitToPage="1"/>
  </sheetPr>
  <dimension ref="A1:H54"/>
  <sheetViews>
    <sheetView showGridLines="0" zoomScale="70" zoomScaleNormal="70" workbookViewId="0"/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1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63" t="s">
        <v>3</v>
      </c>
      <c r="C7" s="264" t="s">
        <v>4</v>
      </c>
      <c r="D7" s="265" t="s">
        <v>6</v>
      </c>
      <c r="E7" s="266" t="s">
        <v>40</v>
      </c>
      <c r="F7" s="267" t="s">
        <v>41</v>
      </c>
      <c r="G7" s="241" t="s">
        <v>122</v>
      </c>
      <c r="H7" s="268" t="s">
        <v>123</v>
      </c>
    </row>
    <row r="8" spans="1:8" ht="27" customHeight="1" x14ac:dyDescent="0.3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62" t="str">
        <f>VLOOKUP(B9,Tableau14[],8,FALSE)</f>
        <v>Trailblazer</v>
      </c>
      <c r="D9" s="26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1" customHeight="1" x14ac:dyDescent="0.3">
      <c r="A13" s="450"/>
      <c r="B13" s="217" t="s">
        <v>135</v>
      </c>
      <c r="C13" s="246" t="str">
        <f>VLOOKUP(B13,Tableau16[],8,FALSE)</f>
        <v>Vert</v>
      </c>
      <c r="D13" s="218">
        <f>VLOOKUP(B13,Tableau16[],14,FALSE)</f>
        <v>30.6</v>
      </c>
      <c r="E13" s="219">
        <v>0.11</v>
      </c>
      <c r="F13" s="219">
        <v>0.11</v>
      </c>
      <c r="G13" s="220" t="str">
        <f>VLOOKUP(B13,Tableau16[],10,FALSE)</f>
        <v>Mouffette / Diesel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0.1</v>
      </c>
      <c r="F14" s="219">
        <v>0.13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142</v>
      </c>
      <c r="C16" s="221" t="str">
        <f>VLOOKUP(B16,Tableau16[],8,FALSE)</f>
        <v>5 Points Cannabis</v>
      </c>
      <c r="D16" s="218">
        <f>VLOOKUP(B16,Tableau16[],14,FALSE)</f>
        <v>27.6</v>
      </c>
      <c r="E16" s="219">
        <v>0.09</v>
      </c>
      <c r="F16" s="219">
        <v>0.11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137</v>
      </c>
      <c r="C17" s="221" t="str">
        <f>VLOOKUP(B17,Tableau16[],8,FALSE)</f>
        <v>Solei</v>
      </c>
      <c r="D17" s="218">
        <f>VLOOKUP(B17,Tableau16[],14,FALSE)</f>
        <v>22.1</v>
      </c>
      <c r="E17" s="219">
        <v>0.08</v>
      </c>
      <c r="F17" s="219">
        <v>0.1</v>
      </c>
      <c r="G17" s="220" t="str">
        <f>VLOOKUP(B17,Tableau16[],10,FALSE)</f>
        <v>Citronné / Épicé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131</v>
      </c>
      <c r="C18" s="221" t="str">
        <f>VLOOKUP(B18,Tableau16[],8,FALSE)</f>
        <v>Orchid</v>
      </c>
      <c r="D18" s="218">
        <f>VLOOKUP(B18,Tableau16[],14,FALSE)</f>
        <v>25.6</v>
      </c>
      <c r="E18" s="219">
        <v>0.08</v>
      </c>
      <c r="F18" s="219">
        <v>0.11</v>
      </c>
      <c r="G18" s="220" t="str">
        <f>VLOOKUP(B18,Tableau16[],10,FALSE)</f>
        <v>Fruité / Sucré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7.0000000000000007E-2</v>
      </c>
      <c r="F20" s="219">
        <v>0.06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153</v>
      </c>
      <c r="C21" s="221" t="str">
        <f>VLOOKUP(B21,Tableau16[],8,FALSE)</f>
        <v>Fuga</v>
      </c>
      <c r="D21" s="218">
        <f>VLOOKUP(B21,Tableau16[],14,FALSE)</f>
        <v>26</v>
      </c>
      <c r="E21" s="219">
        <v>0.06</v>
      </c>
      <c r="F21" s="219">
        <v>7.0000000000000007E-2</v>
      </c>
      <c r="G21" s="220" t="str">
        <f>VLOOKUP(B21,Tableau16[],10,FALSE)</f>
        <v>-</v>
      </c>
      <c r="H21" s="218" t="str">
        <f>VLOOKUP(B21,Tableau16[],4,FALSE)</f>
        <v>Qc</v>
      </c>
    </row>
    <row r="22" spans="1:8" ht="24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0.06</v>
      </c>
      <c r="F22" s="219">
        <v>0.09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154</v>
      </c>
      <c r="C23" s="221" t="str">
        <f>VLOOKUP(B23,Tableau16[],8,FALSE)</f>
        <v>Canna Farms</v>
      </c>
      <c r="D23" s="218">
        <f>VLOOKUP(B23,Tableau16[],14,FALSE)</f>
        <v>30.6</v>
      </c>
      <c r="E23" s="219">
        <v>0.06</v>
      </c>
      <c r="F23" s="219">
        <v>0.1</v>
      </c>
      <c r="G23" s="220" t="str">
        <f>VLOOKUP(B23,Tableau16[],10,FALSE)</f>
        <v>Fruité / Boisé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155</v>
      </c>
      <c r="C24" s="221" t="str">
        <f>VLOOKUP(B24,Tableau16[],8,FALSE)</f>
        <v>Color Cannabis</v>
      </c>
      <c r="D24" s="218">
        <f>VLOOKUP(B24,Tableau16[],14,FALSE)</f>
        <v>29.7</v>
      </c>
      <c r="E24" s="219">
        <v>0</v>
      </c>
      <c r="F24" s="219">
        <v>0.08</v>
      </c>
      <c r="G24" s="220" t="str">
        <f>VLOOKUP(B24,Tableau16[],10,FALSE)</f>
        <v>Boisé / Épicé</v>
      </c>
      <c r="H24" s="218" t="str">
        <f>VLOOKUP(B24,Tableau16[],4,FALSE)</f>
        <v>-</v>
      </c>
    </row>
    <row r="25" spans="1:8" ht="24" customHeight="1" x14ac:dyDescent="0.3">
      <c r="A25" s="450"/>
      <c r="B25" s="217" t="s">
        <v>151</v>
      </c>
      <c r="C25" s="221" t="str">
        <f>VLOOKUP(B25,Tableau16[],8,FALSE)</f>
        <v>De La Ferme</v>
      </c>
      <c r="D25" s="218">
        <f>VLOOKUP(B25,Tableau16[],14,FALSE)</f>
        <v>17.3</v>
      </c>
      <c r="E25" s="219">
        <v>0</v>
      </c>
      <c r="F25" s="219">
        <v>0.12</v>
      </c>
      <c r="G25" s="220" t="str">
        <f>VLOOKUP(B25,Tableau16[],10,FALSE)</f>
        <v>Épicé / FLoral</v>
      </c>
      <c r="H25" s="218" t="str">
        <f>VLOOKUP(B25,Tableau16[],4,FALSE)</f>
        <v>Qc</v>
      </c>
    </row>
    <row r="26" spans="1:8" ht="24" customHeight="1" x14ac:dyDescent="0.3">
      <c r="A26" s="450"/>
      <c r="B26" s="217" t="s">
        <v>156</v>
      </c>
      <c r="C26" s="221" t="str">
        <f>VLOOKUP(B26,Tableau16[],8,FALSE)</f>
        <v>Vert</v>
      </c>
      <c r="D26" s="218">
        <f>VLOOKUP(B26,Tableau16[],14,FALSE)</f>
        <v>30.6</v>
      </c>
      <c r="E26" s="219">
        <v>0</v>
      </c>
      <c r="F26" s="219">
        <v>0.12</v>
      </c>
      <c r="G26" s="220" t="str">
        <f>VLOOKUP(B26,Tableau16[],10,FALSE)</f>
        <v>Boisé / Terreux</v>
      </c>
      <c r="H26" s="218" t="str">
        <f>VLOOKUP(B26,Tableau16[],4,FALSE)</f>
        <v>Qc</v>
      </c>
    </row>
    <row r="27" spans="1:8" ht="24" customHeight="1" thickBot="1" x14ac:dyDescent="0.35">
      <c r="A27" s="451"/>
      <c r="B27" s="256" t="s">
        <v>145</v>
      </c>
      <c r="C27" s="257" t="str">
        <f>VLOOKUP(B27,Tableau16[],8,FALSE)</f>
        <v>Canna Farms</v>
      </c>
      <c r="D27" s="258">
        <f>VLOOKUP(B27,Tableau16[],14,FALSE)</f>
        <v>30.6</v>
      </c>
      <c r="E27" s="259">
        <v>0</v>
      </c>
      <c r="F27" s="259">
        <v>0.17</v>
      </c>
      <c r="G27" s="260" t="str">
        <f>VLOOKUP(B27,Tableau16[],10,FALSE)</f>
        <v>Fruité / Boisé</v>
      </c>
      <c r="H27" s="258" t="str">
        <f>VLOOKUP(B27,Tableau16[],4,FALSE)</f>
        <v>-</v>
      </c>
    </row>
    <row r="28" spans="1:8" ht="9.75" customHeight="1" x14ac:dyDescent="0.3">
      <c r="A28" s="183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9"/>
      <c r="C33" s="173"/>
      <c r="D33" s="174"/>
      <c r="E33" s="184"/>
      <c r="F33" s="8"/>
      <c r="G33" s="8"/>
    </row>
    <row r="34" spans="1:7" ht="8.25" customHeight="1" x14ac:dyDescent="0.3">
      <c r="A34" s="4"/>
      <c r="B34" s="61"/>
      <c r="C34" s="61"/>
      <c r="D34" s="61"/>
      <c r="E34" s="61"/>
      <c r="F34" s="61"/>
      <c r="G34" s="61"/>
    </row>
    <row r="35" spans="1:7" ht="39" customHeight="1" x14ac:dyDescent="0.3">
      <c r="A35" s="61"/>
      <c r="B35" s="176"/>
      <c r="C35" s="176"/>
      <c r="D35" s="177"/>
      <c r="E35" s="11"/>
      <c r="F35" s="11"/>
      <c r="G35" s="177"/>
    </row>
    <row r="36" spans="1:7" ht="19.5" customHeight="1" x14ac:dyDescent="0.3">
      <c r="A36" s="175"/>
      <c r="B36" s="170"/>
      <c r="C36" s="170"/>
      <c r="D36" s="171"/>
      <c r="E36" s="179"/>
      <c r="F36" s="172"/>
      <c r="G36" s="169"/>
    </row>
    <row r="37" spans="1:7" ht="19.5" customHeight="1" x14ac:dyDescent="0.3">
      <c r="A37" s="169"/>
      <c r="B37" s="170"/>
      <c r="C37" s="169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70"/>
      <c r="D39" s="171"/>
      <c r="E39" s="179"/>
      <c r="F39" s="172"/>
      <c r="G39" s="169"/>
    </row>
    <row r="40" spans="1:7" ht="19.5" customHeight="1" x14ac:dyDescent="0.3">
      <c r="A40" s="169"/>
      <c r="B40" s="4"/>
      <c r="C40" s="4"/>
      <c r="D40" s="167"/>
      <c r="E40" s="185"/>
      <c r="F40" s="198"/>
      <c r="G40" s="4"/>
    </row>
    <row r="41" spans="1:7" ht="33.75" x14ac:dyDescent="0.3">
      <c r="A41" s="169"/>
      <c r="B41" s="61"/>
      <c r="C41" s="61"/>
      <c r="D41" s="61"/>
      <c r="E41" s="61"/>
      <c r="F41" s="61"/>
      <c r="G41" s="61"/>
    </row>
    <row r="42" spans="1:7" ht="39.75" customHeight="1" x14ac:dyDescent="0.3">
      <c r="A42" s="61"/>
      <c r="B42" s="176"/>
      <c r="C42" s="176"/>
      <c r="D42" s="178"/>
      <c r="E42" s="11"/>
      <c r="F42" s="11"/>
      <c r="G42" s="177"/>
    </row>
    <row r="43" spans="1:7" x14ac:dyDescent="0.3">
      <c r="A43" s="175"/>
      <c r="B43" s="170"/>
      <c r="C43" s="170"/>
      <c r="D43" s="171"/>
      <c r="E43" s="186"/>
      <c r="F43" s="186"/>
      <c r="G43" s="171"/>
    </row>
    <row r="44" spans="1:7" x14ac:dyDescent="0.3">
      <c r="A44" s="169"/>
      <c r="B44" s="170"/>
      <c r="C44" s="170"/>
      <c r="D44" s="180"/>
      <c r="E44" s="179"/>
      <c r="F44" s="172"/>
      <c r="G44" s="171"/>
    </row>
    <row r="45" spans="1:7" x14ac:dyDescent="0.3">
      <c r="A45" s="169"/>
      <c r="B45" s="170"/>
      <c r="C45" s="169"/>
      <c r="D45" s="171"/>
      <c r="E45" s="179"/>
      <c r="F45" s="172"/>
      <c r="G45" s="171"/>
    </row>
    <row r="46" spans="1:7" x14ac:dyDescent="0.3">
      <c r="A46" s="169"/>
      <c r="B46" s="170"/>
      <c r="C46" s="170"/>
      <c r="D46" s="171"/>
      <c r="E46" s="179"/>
      <c r="F46" s="172"/>
      <c r="G46" s="171"/>
    </row>
    <row r="47" spans="1:7" x14ac:dyDescent="0.3">
      <c r="A47" s="169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6"/>
      <c r="D53" s="166"/>
      <c r="E53" s="181"/>
      <c r="F53" s="181"/>
      <c r="G53" s="5"/>
    </row>
    <row r="54" spans="1:7" x14ac:dyDescent="0.3">
      <c r="A5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7"/>
  </mergeCells>
  <conditionalFormatting sqref="C53:C1048576 C1">
    <cfRule type="cellIs" dxfId="15" priority="1" operator="equal">
      <formula>0</formula>
    </cfRule>
  </conditionalFormatting>
  <dataValidations count="2">
    <dataValidation type="list" allowBlank="1" showInputMessage="1" showErrorMessage="1" sqref="C37:C39 C43:C46" xr:uid="{2C6AB3F1-69A1-4E35-A129-D44B294DE70B}">
      <formula1>#REF!</formula1>
    </dataValidation>
    <dataValidation type="list" allowBlank="1" showInputMessage="1" showErrorMessage="1" sqref="B1:C1" xr:uid="{411BE16C-E30F-4732-B11B-2C9BAD396F1C}">
      <formula1>hybride1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outon 2">
              <controlPr defaultSize="0" print="0" autoFill="0" autoPict="0" macro="[0]!tri_77036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imp_77036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97943DA-640F-4276-B17F-9D3FB0DBA3C9}">
          <x14:formula1>
            <xm:f>'Base données formats'!$A$4:$A$12</xm:f>
          </x14:formula1>
          <xm:sqref>B8:B11</xm:sqref>
        </x14:dataValidation>
        <x14:dataValidation type="list" allowBlank="1" showInputMessage="1" showErrorMessage="1" xr:uid="{9C1A659F-A308-4AD7-895B-63F4F8C5B54A}">
          <x14:formula1>
            <xm:f>'Base données formats'!$A$21:$A$69</xm:f>
          </x14:formula1>
          <xm:sqref>B13:B27</xm:sqref>
        </x14:dataValidation>
        <x14:dataValidation type="list" allowBlank="1" showInputMessage="1" showErrorMessage="1" xr:uid="{4D63D883-AAFD-42B9-9A83-FF037ABD0E93}">
          <x14:formula1>
            <xm:f>'Base données formats'!$A$16:$A$17</xm:f>
          </x14:formula1>
          <xm:sqref>B4:B5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19913-0AD1-460E-AFA1-BAD44DC70131}">
  <sheetPr codeName="Feuil12">
    <pageSetUpPr fitToPage="1"/>
  </sheetPr>
  <dimension ref="A1:H54"/>
  <sheetViews>
    <sheetView showGridLines="0" zoomScale="70" zoomScaleNormal="70" workbookViewId="0"/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1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1" customHeight="1" x14ac:dyDescent="0.3">
      <c r="A13" s="450"/>
      <c r="B13" s="217" t="s">
        <v>135</v>
      </c>
      <c r="C13" s="246" t="str">
        <f>VLOOKUP(B13,Tableau16[],8,FALSE)</f>
        <v>Vert</v>
      </c>
      <c r="D13" s="218">
        <f>VLOOKUP(B13,Tableau16[],14,FALSE)</f>
        <v>30.6</v>
      </c>
      <c r="E13" s="219">
        <v>0.11</v>
      </c>
      <c r="F13" s="219">
        <v>0.11</v>
      </c>
      <c r="G13" s="220" t="str">
        <f>VLOOKUP(B13,Tableau16[],10,FALSE)</f>
        <v>Mouffette / Diesel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0.1</v>
      </c>
      <c r="F14" s="219">
        <v>0.13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142</v>
      </c>
      <c r="C16" s="221" t="str">
        <f>VLOOKUP(B16,Tableau16[],8,FALSE)</f>
        <v>5 Points Cannabis</v>
      </c>
      <c r="D16" s="218">
        <f>VLOOKUP(B16,Tableau16[],14,FALSE)</f>
        <v>27.6</v>
      </c>
      <c r="E16" s="219">
        <v>0.09</v>
      </c>
      <c r="F16" s="219">
        <v>0.11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137</v>
      </c>
      <c r="C17" s="221" t="str">
        <f>VLOOKUP(B17,Tableau16[],8,FALSE)</f>
        <v>Solei</v>
      </c>
      <c r="D17" s="218">
        <f>VLOOKUP(B17,Tableau16[],14,FALSE)</f>
        <v>22.1</v>
      </c>
      <c r="E17" s="219">
        <v>0.08</v>
      </c>
      <c r="F17" s="219">
        <v>0.1</v>
      </c>
      <c r="G17" s="220" t="str">
        <f>VLOOKUP(B17,Tableau16[],10,FALSE)</f>
        <v>Citronné / Épicé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131</v>
      </c>
      <c r="C18" s="221" t="str">
        <f>VLOOKUP(B18,Tableau16[],8,FALSE)</f>
        <v>Orchid</v>
      </c>
      <c r="D18" s="218">
        <f>VLOOKUP(B18,Tableau16[],14,FALSE)</f>
        <v>25.6</v>
      </c>
      <c r="E18" s="219">
        <v>0.08</v>
      </c>
      <c r="F18" s="219">
        <v>0.11</v>
      </c>
      <c r="G18" s="220" t="str">
        <f>VLOOKUP(B18,Tableau16[],10,FALSE)</f>
        <v>Fruité / Sucré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7.0000000000000007E-2</v>
      </c>
      <c r="F20" s="219">
        <v>0.06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153</v>
      </c>
      <c r="C21" s="221" t="str">
        <f>VLOOKUP(B21,Tableau16[],8,FALSE)</f>
        <v>Fuga</v>
      </c>
      <c r="D21" s="218">
        <f>VLOOKUP(B21,Tableau16[],14,FALSE)</f>
        <v>26</v>
      </c>
      <c r="E21" s="219">
        <v>0.06</v>
      </c>
      <c r="F21" s="219">
        <v>7.0000000000000007E-2</v>
      </c>
      <c r="G21" s="220" t="str">
        <f>VLOOKUP(B21,Tableau16[],10,FALSE)</f>
        <v>-</v>
      </c>
      <c r="H21" s="218" t="str">
        <f>VLOOKUP(B21,Tableau16[],4,FALSE)</f>
        <v>Qc</v>
      </c>
    </row>
    <row r="22" spans="1:8" ht="24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0.06</v>
      </c>
      <c r="F22" s="219">
        <v>0.09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154</v>
      </c>
      <c r="C23" s="221" t="str">
        <f>VLOOKUP(B23,Tableau16[],8,FALSE)</f>
        <v>Canna Farms</v>
      </c>
      <c r="D23" s="218">
        <f>VLOOKUP(B23,Tableau16[],14,FALSE)</f>
        <v>30.6</v>
      </c>
      <c r="E23" s="219">
        <v>0.06</v>
      </c>
      <c r="F23" s="219">
        <v>0.1</v>
      </c>
      <c r="G23" s="220" t="str">
        <f>VLOOKUP(B23,Tableau16[],10,FALSE)</f>
        <v>Fruité / Boisé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155</v>
      </c>
      <c r="C24" s="221" t="str">
        <f>VLOOKUP(B24,Tableau16[],8,FALSE)</f>
        <v>Color Cannabis</v>
      </c>
      <c r="D24" s="218">
        <f>VLOOKUP(B24,Tableau16[],14,FALSE)</f>
        <v>29.7</v>
      </c>
      <c r="E24" s="219">
        <v>0</v>
      </c>
      <c r="F24" s="219">
        <v>0.08</v>
      </c>
      <c r="G24" s="220" t="str">
        <f>VLOOKUP(B24,Tableau16[],10,FALSE)</f>
        <v>Boisé / Épicé</v>
      </c>
      <c r="H24" s="218" t="str">
        <f>VLOOKUP(B24,Tableau16[],4,FALSE)</f>
        <v>-</v>
      </c>
    </row>
    <row r="25" spans="1:8" ht="24" customHeight="1" x14ac:dyDescent="0.3">
      <c r="A25" s="450"/>
      <c r="B25" s="217" t="s">
        <v>151</v>
      </c>
      <c r="C25" s="221" t="str">
        <f>VLOOKUP(B25,Tableau16[],8,FALSE)</f>
        <v>De La Ferme</v>
      </c>
      <c r="D25" s="218">
        <f>VLOOKUP(B25,Tableau16[],14,FALSE)</f>
        <v>17.3</v>
      </c>
      <c r="E25" s="219">
        <v>0</v>
      </c>
      <c r="F25" s="219">
        <v>0.12</v>
      </c>
      <c r="G25" s="220" t="str">
        <f>VLOOKUP(B25,Tableau16[],10,FALSE)</f>
        <v>Épicé / FLoral</v>
      </c>
      <c r="H25" s="218" t="str">
        <f>VLOOKUP(B25,Tableau16[],4,FALSE)</f>
        <v>Qc</v>
      </c>
    </row>
    <row r="26" spans="1:8" ht="24" customHeight="1" x14ac:dyDescent="0.3">
      <c r="A26" s="450"/>
      <c r="B26" s="217" t="s">
        <v>156</v>
      </c>
      <c r="C26" s="221" t="str">
        <f>VLOOKUP(B26,Tableau16[],8,FALSE)</f>
        <v>Vert</v>
      </c>
      <c r="D26" s="218">
        <f>VLOOKUP(B26,Tableau16[],14,FALSE)</f>
        <v>30.6</v>
      </c>
      <c r="E26" s="219">
        <v>0</v>
      </c>
      <c r="F26" s="219">
        <v>0.12</v>
      </c>
      <c r="G26" s="220" t="str">
        <f>VLOOKUP(B26,Tableau16[],10,FALSE)</f>
        <v>Boisé / Terreux</v>
      </c>
      <c r="H26" s="218" t="str">
        <f>VLOOKUP(B26,Tableau16[],4,FALSE)</f>
        <v>Qc</v>
      </c>
    </row>
    <row r="27" spans="1:8" ht="24" customHeight="1" thickBot="1" x14ac:dyDescent="0.35">
      <c r="A27" s="451"/>
      <c r="B27" s="256" t="s">
        <v>145</v>
      </c>
      <c r="C27" s="257" t="str">
        <f>VLOOKUP(B27,Tableau16[],8,FALSE)</f>
        <v>Canna Farms</v>
      </c>
      <c r="D27" s="258">
        <f>VLOOKUP(B27,Tableau16[],14,FALSE)</f>
        <v>30.6</v>
      </c>
      <c r="E27" s="259">
        <v>0</v>
      </c>
      <c r="F27" s="259">
        <v>0.17</v>
      </c>
      <c r="G27" s="260" t="str">
        <f>VLOOKUP(B27,Tableau16[],10,FALSE)</f>
        <v>Fruité / Boisé</v>
      </c>
      <c r="H27" s="258" t="str">
        <f>VLOOKUP(B27,Tableau16[],4,FALSE)</f>
        <v>-</v>
      </c>
    </row>
    <row r="28" spans="1:8" ht="9.75" customHeight="1" x14ac:dyDescent="0.3">
      <c r="A28" s="183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9"/>
      <c r="C33" s="173"/>
      <c r="D33" s="174"/>
      <c r="E33" s="184"/>
      <c r="F33" s="8"/>
      <c r="G33" s="8"/>
    </row>
    <row r="34" spans="1:7" ht="8.25" customHeight="1" x14ac:dyDescent="0.3">
      <c r="A34" s="4"/>
      <c r="B34" s="61"/>
      <c r="C34" s="61"/>
      <c r="D34" s="61"/>
      <c r="E34" s="61"/>
      <c r="F34" s="61"/>
      <c r="G34" s="61"/>
    </row>
    <row r="35" spans="1:7" ht="39" customHeight="1" x14ac:dyDescent="0.3">
      <c r="A35" s="61"/>
      <c r="B35" s="176"/>
      <c r="C35" s="176"/>
      <c r="D35" s="177"/>
      <c r="E35" s="11"/>
      <c r="F35" s="11"/>
      <c r="G35" s="177"/>
    </row>
    <row r="36" spans="1:7" ht="19.5" customHeight="1" x14ac:dyDescent="0.3">
      <c r="A36" s="175"/>
      <c r="B36" s="170"/>
      <c r="C36" s="170"/>
      <c r="D36" s="171"/>
      <c r="E36" s="179"/>
      <c r="F36" s="172"/>
      <c r="G36" s="169"/>
    </row>
    <row r="37" spans="1:7" ht="19.5" customHeight="1" x14ac:dyDescent="0.3">
      <c r="A37" s="169"/>
      <c r="B37" s="170"/>
      <c r="C37" s="169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70"/>
      <c r="D39" s="171"/>
      <c r="E39" s="179"/>
      <c r="F39" s="172"/>
      <c r="G39" s="169"/>
    </row>
    <row r="40" spans="1:7" ht="19.5" customHeight="1" x14ac:dyDescent="0.3">
      <c r="A40" s="169"/>
      <c r="B40" s="4"/>
      <c r="C40" s="4"/>
      <c r="D40" s="167"/>
      <c r="E40" s="185"/>
      <c r="F40" s="198"/>
      <c r="G40" s="4"/>
    </row>
    <row r="41" spans="1:7" ht="33.75" x14ac:dyDescent="0.3">
      <c r="A41" s="169"/>
      <c r="B41" s="61"/>
      <c r="C41" s="61"/>
      <c r="D41" s="61"/>
      <c r="E41" s="61"/>
      <c r="F41" s="61"/>
      <c r="G41" s="61"/>
    </row>
    <row r="42" spans="1:7" ht="39.75" customHeight="1" x14ac:dyDescent="0.3">
      <c r="A42" s="61"/>
      <c r="B42" s="176"/>
      <c r="C42" s="176"/>
      <c r="D42" s="178"/>
      <c r="E42" s="11"/>
      <c r="F42" s="11"/>
      <c r="G42" s="177"/>
    </row>
    <row r="43" spans="1:7" x14ac:dyDescent="0.3">
      <c r="A43" s="175"/>
      <c r="B43" s="170"/>
      <c r="C43" s="170"/>
      <c r="D43" s="171"/>
      <c r="E43" s="186"/>
      <c r="F43" s="186"/>
      <c r="G43" s="171"/>
    </row>
    <row r="44" spans="1:7" x14ac:dyDescent="0.3">
      <c r="A44" s="169"/>
      <c r="B44" s="170"/>
      <c r="C44" s="170"/>
      <c r="D44" s="180"/>
      <c r="E44" s="179"/>
      <c r="F44" s="172"/>
      <c r="G44" s="171"/>
    </row>
    <row r="45" spans="1:7" x14ac:dyDescent="0.3">
      <c r="A45" s="169"/>
      <c r="B45" s="170"/>
      <c r="C45" s="169"/>
      <c r="D45" s="171"/>
      <c r="E45" s="179"/>
      <c r="F45" s="172"/>
      <c r="G45" s="171"/>
    </row>
    <row r="46" spans="1:7" x14ac:dyDescent="0.3">
      <c r="A46" s="169"/>
      <c r="B46" s="170"/>
      <c r="C46" s="170"/>
      <c r="D46" s="171"/>
      <c r="E46" s="179"/>
      <c r="F46" s="172"/>
      <c r="G46" s="171"/>
    </row>
    <row r="47" spans="1:7" x14ac:dyDescent="0.3">
      <c r="A47" s="169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6"/>
      <c r="D53" s="166"/>
      <c r="E53" s="181"/>
      <c r="F53" s="181"/>
      <c r="G53" s="5"/>
    </row>
    <row r="54" spans="1:7" x14ac:dyDescent="0.3">
      <c r="A5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7"/>
  </mergeCells>
  <conditionalFormatting sqref="C53:C1048576 C1">
    <cfRule type="cellIs" dxfId="14" priority="1" operator="equal">
      <formula>0</formula>
    </cfRule>
  </conditionalFormatting>
  <dataValidations count="2">
    <dataValidation type="list" allowBlank="1" showInputMessage="1" showErrorMessage="1" sqref="B1:C1" xr:uid="{2858DB11-2C60-4086-9A04-F81BE32FFF2E}">
      <formula1>hybride1</formula1>
    </dataValidation>
    <dataValidation type="list" allowBlank="1" showInputMessage="1" showErrorMessage="1" sqref="C37:C39 C43:C46" xr:uid="{8C3D29E1-EFB7-4B37-BA77-C60BB4BB59F5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outon 2">
              <controlPr defaultSize="0" print="0" autoFill="0" autoPict="0" macro="[0]!tri_77037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imp_77037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48D2AE-3E70-48D4-8B12-CE256E434CB8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698918FF-3264-4B05-971F-08B1CE535F49}">
          <x14:formula1>
            <xm:f>'Base données formats'!$A$21:$A$69</xm:f>
          </x14:formula1>
          <xm:sqref>B13:B27</xm:sqref>
        </x14:dataValidation>
        <x14:dataValidation type="list" allowBlank="1" showInputMessage="1" showErrorMessage="1" xr:uid="{4F1ABE73-BAFF-4646-8167-10AC17BEA7DE}">
          <x14:formula1>
            <xm:f>'Base données formats'!$A$4:$A$12</xm:f>
          </x14:formula1>
          <xm:sqref>B8:B11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474D9-D36A-4C81-BDBA-757DE56455B0}">
  <sheetPr codeName="Feuil19">
    <pageSetUpPr fitToPage="1"/>
  </sheetPr>
  <dimension ref="A1:H54"/>
  <sheetViews>
    <sheetView showGridLines="0" zoomScale="70" zoomScaleNormal="70" workbookViewId="0"/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1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1" customHeight="1" x14ac:dyDescent="0.3">
      <c r="A13" s="450"/>
      <c r="B13" s="217" t="s">
        <v>135</v>
      </c>
      <c r="C13" s="246" t="str">
        <f>VLOOKUP(B13,Tableau16[],8,FALSE)</f>
        <v>Vert</v>
      </c>
      <c r="D13" s="218">
        <f>VLOOKUP(B13,Tableau16[],14,FALSE)</f>
        <v>30.6</v>
      </c>
      <c r="E13" s="219">
        <v>0.11</v>
      </c>
      <c r="F13" s="219">
        <v>0.11</v>
      </c>
      <c r="G13" s="220" t="str">
        <f>VLOOKUP(B13,Tableau16[],10,FALSE)</f>
        <v>Mouffette / Diesel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0.1</v>
      </c>
      <c r="F14" s="219">
        <v>0.13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142</v>
      </c>
      <c r="C16" s="221" t="str">
        <f>VLOOKUP(B16,Tableau16[],8,FALSE)</f>
        <v>5 Points Cannabis</v>
      </c>
      <c r="D16" s="218">
        <f>VLOOKUP(B16,Tableau16[],14,FALSE)</f>
        <v>27.6</v>
      </c>
      <c r="E16" s="219">
        <v>0.09</v>
      </c>
      <c r="F16" s="219">
        <v>0.11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137</v>
      </c>
      <c r="C17" s="221" t="str">
        <f>VLOOKUP(B17,Tableau16[],8,FALSE)</f>
        <v>Solei</v>
      </c>
      <c r="D17" s="218">
        <f>VLOOKUP(B17,Tableau16[],14,FALSE)</f>
        <v>22.1</v>
      </c>
      <c r="E17" s="219">
        <v>0.08</v>
      </c>
      <c r="F17" s="219">
        <v>0.1</v>
      </c>
      <c r="G17" s="220" t="str">
        <f>VLOOKUP(B17,Tableau16[],10,FALSE)</f>
        <v>Citronné / Épicé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131</v>
      </c>
      <c r="C18" s="221" t="str">
        <f>VLOOKUP(B18,Tableau16[],8,FALSE)</f>
        <v>Orchid</v>
      </c>
      <c r="D18" s="218">
        <f>VLOOKUP(B18,Tableau16[],14,FALSE)</f>
        <v>25.6</v>
      </c>
      <c r="E18" s="219">
        <v>0.08</v>
      </c>
      <c r="F18" s="219">
        <v>0.11</v>
      </c>
      <c r="G18" s="220" t="str">
        <f>VLOOKUP(B18,Tableau16[],10,FALSE)</f>
        <v>Fruité / Sucré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7.0000000000000007E-2</v>
      </c>
      <c r="F20" s="219">
        <v>0.06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153</v>
      </c>
      <c r="C21" s="221" t="str">
        <f>VLOOKUP(B21,Tableau16[],8,FALSE)</f>
        <v>Fuga</v>
      </c>
      <c r="D21" s="218">
        <f>VLOOKUP(B21,Tableau16[],14,FALSE)</f>
        <v>26</v>
      </c>
      <c r="E21" s="219">
        <v>0.06</v>
      </c>
      <c r="F21" s="219">
        <v>7.0000000000000007E-2</v>
      </c>
      <c r="G21" s="220" t="str">
        <f>VLOOKUP(B21,Tableau16[],10,FALSE)</f>
        <v>-</v>
      </c>
      <c r="H21" s="218" t="str">
        <f>VLOOKUP(B21,Tableau16[],4,FALSE)</f>
        <v>Qc</v>
      </c>
    </row>
    <row r="22" spans="1:8" ht="24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0.06</v>
      </c>
      <c r="F22" s="219">
        <v>0.09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154</v>
      </c>
      <c r="C23" s="221" t="str">
        <f>VLOOKUP(B23,Tableau16[],8,FALSE)</f>
        <v>Canna Farms</v>
      </c>
      <c r="D23" s="218">
        <f>VLOOKUP(B23,Tableau16[],14,FALSE)</f>
        <v>30.6</v>
      </c>
      <c r="E23" s="219">
        <v>0.06</v>
      </c>
      <c r="F23" s="219">
        <v>0.1</v>
      </c>
      <c r="G23" s="220" t="str">
        <f>VLOOKUP(B23,Tableau16[],10,FALSE)</f>
        <v>Fruité / Boisé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155</v>
      </c>
      <c r="C24" s="221" t="str">
        <f>VLOOKUP(B24,Tableau16[],8,FALSE)</f>
        <v>Color Cannabis</v>
      </c>
      <c r="D24" s="218">
        <f>VLOOKUP(B24,Tableau16[],14,FALSE)</f>
        <v>29.7</v>
      </c>
      <c r="E24" s="219">
        <v>0</v>
      </c>
      <c r="F24" s="219">
        <v>0.08</v>
      </c>
      <c r="G24" s="220" t="str">
        <f>VLOOKUP(B24,Tableau16[],10,FALSE)</f>
        <v>Boisé / Épicé</v>
      </c>
      <c r="H24" s="218" t="str">
        <f>VLOOKUP(B24,Tableau16[],4,FALSE)</f>
        <v>-</v>
      </c>
    </row>
    <row r="25" spans="1:8" ht="24" customHeight="1" x14ac:dyDescent="0.3">
      <c r="A25" s="450"/>
      <c r="B25" s="217" t="s">
        <v>151</v>
      </c>
      <c r="C25" s="221" t="str">
        <f>VLOOKUP(B25,Tableau16[],8,FALSE)</f>
        <v>De La Ferme</v>
      </c>
      <c r="D25" s="218">
        <f>VLOOKUP(B25,Tableau16[],14,FALSE)</f>
        <v>17.3</v>
      </c>
      <c r="E25" s="219">
        <v>0</v>
      </c>
      <c r="F25" s="219">
        <v>0.12</v>
      </c>
      <c r="G25" s="220" t="str">
        <f>VLOOKUP(B25,Tableau16[],10,FALSE)</f>
        <v>Épicé / FLoral</v>
      </c>
      <c r="H25" s="218" t="str">
        <f>VLOOKUP(B25,Tableau16[],4,FALSE)</f>
        <v>Qc</v>
      </c>
    </row>
    <row r="26" spans="1:8" ht="24" customHeight="1" x14ac:dyDescent="0.3">
      <c r="A26" s="450"/>
      <c r="B26" s="217" t="s">
        <v>156</v>
      </c>
      <c r="C26" s="221" t="str">
        <f>VLOOKUP(B26,Tableau16[],8,FALSE)</f>
        <v>Vert</v>
      </c>
      <c r="D26" s="218">
        <f>VLOOKUP(B26,Tableau16[],14,FALSE)</f>
        <v>30.6</v>
      </c>
      <c r="E26" s="219">
        <v>0</v>
      </c>
      <c r="F26" s="219">
        <v>0.12</v>
      </c>
      <c r="G26" s="220" t="str">
        <f>VLOOKUP(B26,Tableau16[],10,FALSE)</f>
        <v>Boisé / Terreux</v>
      </c>
      <c r="H26" s="218" t="str">
        <f>VLOOKUP(B26,Tableau16[],4,FALSE)</f>
        <v>Qc</v>
      </c>
    </row>
    <row r="27" spans="1:8" ht="24" customHeight="1" thickBot="1" x14ac:dyDescent="0.35">
      <c r="A27" s="451"/>
      <c r="B27" s="256" t="s">
        <v>145</v>
      </c>
      <c r="C27" s="257" t="str">
        <f>VLOOKUP(B27,Tableau16[],8,FALSE)</f>
        <v>Canna Farms</v>
      </c>
      <c r="D27" s="258">
        <f>VLOOKUP(B27,Tableau16[],14,FALSE)</f>
        <v>30.6</v>
      </c>
      <c r="E27" s="259">
        <v>0</v>
      </c>
      <c r="F27" s="259">
        <v>0.17</v>
      </c>
      <c r="G27" s="260" t="str">
        <f>VLOOKUP(B27,Tableau16[],10,FALSE)</f>
        <v>Fruité / Boisé</v>
      </c>
      <c r="H27" s="258" t="str">
        <f>VLOOKUP(B27,Tableau16[],4,FALSE)</f>
        <v>-</v>
      </c>
    </row>
    <row r="28" spans="1:8" ht="9.75" customHeight="1" x14ac:dyDescent="0.3">
      <c r="A28" s="183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9"/>
      <c r="C33" s="173"/>
      <c r="D33" s="174"/>
      <c r="E33" s="184"/>
      <c r="F33" s="8"/>
      <c r="G33" s="8"/>
    </row>
    <row r="34" spans="1:7" ht="8.25" customHeight="1" x14ac:dyDescent="0.3">
      <c r="A34" s="4"/>
      <c r="B34" s="61"/>
      <c r="C34" s="61"/>
      <c r="D34" s="61"/>
      <c r="E34" s="61"/>
      <c r="F34" s="61"/>
      <c r="G34" s="61"/>
    </row>
    <row r="35" spans="1:7" ht="39" customHeight="1" x14ac:dyDescent="0.3">
      <c r="A35" s="61"/>
      <c r="B35" s="176"/>
      <c r="C35" s="176"/>
      <c r="D35" s="177"/>
      <c r="E35" s="11"/>
      <c r="F35" s="11"/>
      <c r="G35" s="177"/>
    </row>
    <row r="36" spans="1:7" ht="19.5" customHeight="1" x14ac:dyDescent="0.3">
      <c r="A36" s="175"/>
      <c r="B36" s="170"/>
      <c r="C36" s="170"/>
      <c r="D36" s="171"/>
      <c r="E36" s="179"/>
      <c r="F36" s="172"/>
      <c r="G36" s="169"/>
    </row>
    <row r="37" spans="1:7" ht="19.5" customHeight="1" x14ac:dyDescent="0.3">
      <c r="A37" s="169"/>
      <c r="B37" s="170"/>
      <c r="C37" s="169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70"/>
      <c r="D39" s="171"/>
      <c r="E39" s="179"/>
      <c r="F39" s="172"/>
      <c r="G39" s="169"/>
    </row>
    <row r="40" spans="1:7" ht="19.5" customHeight="1" x14ac:dyDescent="0.3">
      <c r="A40" s="169"/>
      <c r="B40" s="4"/>
      <c r="C40" s="4"/>
      <c r="D40" s="167"/>
      <c r="E40" s="185"/>
      <c r="F40" s="198"/>
      <c r="G40" s="4"/>
    </row>
    <row r="41" spans="1:7" ht="33.75" x14ac:dyDescent="0.3">
      <c r="A41" s="169"/>
      <c r="B41" s="61"/>
      <c r="C41" s="61"/>
      <c r="D41" s="61"/>
      <c r="E41" s="61"/>
      <c r="F41" s="61"/>
      <c r="G41" s="61"/>
    </row>
    <row r="42" spans="1:7" ht="39.75" customHeight="1" x14ac:dyDescent="0.3">
      <c r="A42" s="61"/>
      <c r="B42" s="176"/>
      <c r="C42" s="176"/>
      <c r="D42" s="178"/>
      <c r="E42" s="11"/>
      <c r="F42" s="11"/>
      <c r="G42" s="177"/>
    </row>
    <row r="43" spans="1:7" x14ac:dyDescent="0.3">
      <c r="A43" s="175"/>
      <c r="B43" s="170"/>
      <c r="C43" s="170"/>
      <c r="D43" s="171"/>
      <c r="E43" s="186"/>
      <c r="F43" s="186"/>
      <c r="G43" s="171"/>
    </row>
    <row r="44" spans="1:7" x14ac:dyDescent="0.3">
      <c r="A44" s="169"/>
      <c r="B44" s="170"/>
      <c r="C44" s="170"/>
      <c r="D44" s="180"/>
      <c r="E44" s="179"/>
      <c r="F44" s="172"/>
      <c r="G44" s="171"/>
    </row>
    <row r="45" spans="1:7" x14ac:dyDescent="0.3">
      <c r="A45" s="169"/>
      <c r="B45" s="170"/>
      <c r="C45" s="169"/>
      <c r="D45" s="171"/>
      <c r="E45" s="179"/>
      <c r="F45" s="172"/>
      <c r="G45" s="171"/>
    </row>
    <row r="46" spans="1:7" x14ac:dyDescent="0.3">
      <c r="A46" s="169"/>
      <c r="B46" s="170"/>
      <c r="C46" s="170"/>
      <c r="D46" s="171"/>
      <c r="E46" s="179"/>
      <c r="F46" s="172"/>
      <c r="G46" s="171"/>
    </row>
    <row r="47" spans="1:7" x14ac:dyDescent="0.3">
      <c r="A47" s="169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6"/>
      <c r="D53" s="166"/>
      <c r="E53" s="181"/>
      <c r="F53" s="181"/>
      <c r="G53" s="5"/>
    </row>
    <row r="54" spans="1:7" x14ac:dyDescent="0.3">
      <c r="A5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7"/>
  </mergeCells>
  <conditionalFormatting sqref="C53:C1048576 C1">
    <cfRule type="cellIs" dxfId="13" priority="1" operator="equal">
      <formula>0</formula>
    </cfRule>
  </conditionalFormatting>
  <dataValidations count="2">
    <dataValidation type="list" allowBlank="1" showInputMessage="1" showErrorMessage="1" sqref="C37:C39 C43:C46" xr:uid="{ADF92E63-E7E6-40D5-86B4-3ADD76659A80}">
      <formula1>#REF!</formula1>
    </dataValidation>
    <dataValidation type="list" allowBlank="1" showInputMessage="1" showErrorMessage="1" sqref="B1:C1" xr:uid="{314175DA-8E4A-4A72-AD44-464EE8C8879F}">
      <formula1>hybride1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outon 2">
              <controlPr defaultSize="0" print="0" autoFill="0" autoPict="0" macro="[0]!tri_77041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imp_77037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ADB190F-2596-42A7-A062-55CD524D8798}">
          <x14:formula1>
            <xm:f>'Base données formats'!$A$4:$A$12</xm:f>
          </x14:formula1>
          <xm:sqref>B8:B11</xm:sqref>
        </x14:dataValidation>
        <x14:dataValidation type="list" allowBlank="1" showInputMessage="1" showErrorMessage="1" xr:uid="{1F1E7F31-8D21-482D-AE67-A1BE9DE6FF06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80EC23C7-3B9D-4D8A-B899-A2FD874D1922}">
          <x14:formula1>
            <xm:f>'Base données formats'!$A$21:$A$69</xm:f>
          </x14:formula1>
          <xm:sqref>B13:B27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534F1-9B5E-4C06-B559-247A284D3F69}">
  <sheetPr codeName="Feuil13">
    <pageSetUpPr fitToPage="1"/>
  </sheetPr>
  <dimension ref="A1:H56"/>
  <sheetViews>
    <sheetView showGridLines="0" zoomScale="85" zoomScaleNormal="85" workbookViewId="0"/>
  </sheetViews>
  <sheetFormatPr baseColWidth="10" defaultColWidth="11.42578125" defaultRowHeight="17.25" x14ac:dyDescent="0.3"/>
  <cols>
    <col min="1" max="1" width="5.5703125" style="1" bestFit="1" customWidth="1"/>
    <col min="2" max="2" width="105" style="1" bestFit="1" customWidth="1"/>
    <col min="3" max="3" width="33.85546875" style="3" bestFit="1" customWidth="1"/>
    <col min="4" max="4" width="16.28515625" style="168" bestFit="1" customWidth="1"/>
    <col min="5" max="5" width="13.5703125" style="187" bestFit="1" customWidth="1"/>
    <col min="6" max="6" width="13.85546875" style="187" bestFit="1" customWidth="1"/>
    <col min="7" max="7" width="31.5703125" style="2" bestFit="1" customWidth="1"/>
    <col min="8" max="8" width="24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0.09</v>
      </c>
      <c r="F8" s="231">
        <v>0.12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0.14000000000000001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4" customHeight="1" x14ac:dyDescent="0.3">
      <c r="A13" s="450"/>
      <c r="B13" s="217" t="s">
        <v>160</v>
      </c>
      <c r="C13" s="221" t="str">
        <f>VLOOKUP(B13,Tableau16[],8,FALSE)</f>
        <v>MicroCannabi</v>
      </c>
      <c r="D13" s="218">
        <f>VLOOKUP(B13,Tableau16[],14,FALSE)</f>
        <v>30.5</v>
      </c>
      <c r="E13" s="219">
        <v>0.1</v>
      </c>
      <c r="F13" s="219">
        <v>0.12</v>
      </c>
      <c r="G13" s="220" t="str">
        <f>VLOOKUP(B13,Tableau16[],10,FALSE)</f>
        <v>Fruité / Terreux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0.09</v>
      </c>
      <c r="F14" s="219">
        <v>0.14000000000000001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150</v>
      </c>
      <c r="C16" s="221" t="str">
        <f>VLOOKUP(B16,Tableau16[],8,FALSE)</f>
        <v>Lunaire</v>
      </c>
      <c r="D16" s="218">
        <f>VLOOKUP(B16,Tableau16[],14,FALSE)</f>
        <v>25.8</v>
      </c>
      <c r="E16" s="219">
        <v>0</v>
      </c>
      <c r="F16" s="219">
        <v>0.16</v>
      </c>
      <c r="G16" s="220" t="str">
        <f>VLOOKUP(B16,Tableau16[],10,FALSE)</f>
        <v>Floral / Fruité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138</v>
      </c>
      <c r="C17" s="221" t="str">
        <f>VLOOKUP(B17,Tableau16[],8,FALSE)</f>
        <v>Promenade</v>
      </c>
      <c r="D17" s="218">
        <f>VLOOKUP(B17,Tableau16[],14,FALSE)</f>
        <v>19.3</v>
      </c>
      <c r="E17" s="219">
        <v>7.0000000000000007E-2</v>
      </c>
      <c r="F17" s="219">
        <v>0.06</v>
      </c>
      <c r="G17" s="220" t="str">
        <f>VLOOKUP(B17,Tableau16[],10,FALSE)</f>
        <v>-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136</v>
      </c>
      <c r="C18" s="221" t="str">
        <f>VLOOKUP(B18,Tableau16[],8,FALSE)</f>
        <v>Promenade</v>
      </c>
      <c r="D18" s="218">
        <f>VLOOKUP(B18,Tableau16[],14,FALSE)</f>
        <v>21.4</v>
      </c>
      <c r="E18" s="219">
        <v>7.0000000000000007E-2</v>
      </c>
      <c r="F18" s="219">
        <v>7.0000000000000007E-2</v>
      </c>
      <c r="G18" s="220" t="str">
        <f>VLOOKUP(B18,Tableau16[],10,FALSE)</f>
        <v>Sucré / Terreux</v>
      </c>
      <c r="H18" s="218" t="str">
        <f>VLOOKUP(B18,Tableau16[],4,FALSE)</f>
        <v>-</v>
      </c>
    </row>
    <row r="19" spans="1:8" ht="24" customHeight="1" x14ac:dyDescent="0.3">
      <c r="A19" s="450"/>
      <c r="B19" s="217" t="s">
        <v>139</v>
      </c>
      <c r="C19" s="221" t="str">
        <f>VLOOKUP(B19,Tableau16[],8,FALSE)</f>
        <v>Twd.</v>
      </c>
      <c r="D19" s="218">
        <f>VLOOKUP(B19,Tableau16[],14,FALSE)</f>
        <v>21.2</v>
      </c>
      <c r="E19" s="219">
        <v>7.0000000000000007E-2</v>
      </c>
      <c r="F19" s="219">
        <v>0.06</v>
      </c>
      <c r="G19" s="220" t="str">
        <f>VLOOKUP(B19,Tableau16[],10,FALSE)</f>
        <v>-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137</v>
      </c>
      <c r="C20" s="221" t="str">
        <f>VLOOKUP(B20,Tableau16[],8,FALSE)</f>
        <v>Solei</v>
      </c>
      <c r="D20" s="218">
        <f>VLOOKUP(B20,Tableau16[],14,FALSE)</f>
        <v>22.1</v>
      </c>
      <c r="E20" s="219">
        <v>7.0000000000000007E-2</v>
      </c>
      <c r="F20" s="219">
        <v>0.1</v>
      </c>
      <c r="G20" s="220" t="str">
        <f>VLOOKUP(B20,Tableau16[],10,FALSE)</f>
        <v>Citronné / Épicé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142</v>
      </c>
      <c r="C21" s="221" t="str">
        <f>VLOOKUP(B21,Tableau16[],8,FALSE)</f>
        <v>5 Points Cannabis</v>
      </c>
      <c r="D21" s="218">
        <f>VLOOKUP(B21,Tableau16[],14,FALSE)</f>
        <v>27.6</v>
      </c>
      <c r="E21" s="219">
        <v>0.06</v>
      </c>
      <c r="F21" s="219">
        <v>0.09</v>
      </c>
      <c r="G21" s="220" t="str">
        <f>VLOOKUP(B21,Tableau16[],10,FALSE)</f>
        <v>Fruité / Citronné</v>
      </c>
      <c r="H21" s="218" t="str">
        <f>VLOOKUP(B21,Tableau16[],4,FALSE)</f>
        <v>Qc</v>
      </c>
    </row>
    <row r="22" spans="1:8" ht="24" customHeight="1" x14ac:dyDescent="0.3">
      <c r="A22" s="450"/>
      <c r="B22" s="217" t="s">
        <v>131</v>
      </c>
      <c r="C22" s="221" t="str">
        <f>VLOOKUP(B22,Tableau16[],8,FALSE)</f>
        <v>Orchid</v>
      </c>
      <c r="D22" s="218">
        <f>VLOOKUP(B22,Tableau16[],14,FALSE)</f>
        <v>25.6</v>
      </c>
      <c r="E22" s="219">
        <v>0.06</v>
      </c>
      <c r="F22" s="219">
        <v>0.1</v>
      </c>
      <c r="G22" s="220" t="str">
        <f>VLOOKUP(B22,Tableau16[],10,FALSE)</f>
        <v>Fruité / Sucré</v>
      </c>
      <c r="H22" s="218" t="str">
        <f>VLOOKUP(B22,Tableau16[],4,FALSE)</f>
        <v>Qc</v>
      </c>
    </row>
    <row r="23" spans="1:8" ht="24" customHeight="1" x14ac:dyDescent="0.3">
      <c r="A23" s="450"/>
      <c r="B23" s="217" t="s">
        <v>141</v>
      </c>
      <c r="C23" s="221" t="str">
        <f>VLOOKUP(B23,Tableau16[],8,FALSE)</f>
        <v>Color Cannabis</v>
      </c>
      <c r="D23" s="218">
        <f>VLOOKUP(B23,Tableau16[],14,FALSE)</f>
        <v>29.7</v>
      </c>
      <c r="E23" s="219">
        <v>0.06</v>
      </c>
      <c r="F23" s="219">
        <v>0.11</v>
      </c>
      <c r="G23" s="220" t="str">
        <f>VLOOKUP(B23,Tableau16[],10,FALSE)</f>
        <v>Floral / Fruité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151</v>
      </c>
      <c r="C24" s="221" t="str">
        <f>VLOOKUP(B24,Tableau16[],8,FALSE)</f>
        <v>De La Ferme</v>
      </c>
      <c r="D24" s="218">
        <f>VLOOKUP(B24,Tableau16[],14,FALSE)</f>
        <v>17.3</v>
      </c>
      <c r="E24" s="219">
        <v>0</v>
      </c>
      <c r="F24" s="219">
        <v>0.12</v>
      </c>
      <c r="G24" s="220" t="str">
        <f>VLOOKUP(B24,Tableau16[],10,FALSE)</f>
        <v>Épicé / FLoral</v>
      </c>
      <c r="H24" s="218" t="str">
        <f>VLOOKUP(B24,Tableau16[],4,FALSE)</f>
        <v>Qc</v>
      </c>
    </row>
    <row r="25" spans="1:8" ht="24" customHeight="1" x14ac:dyDescent="0.3">
      <c r="A25" s="450"/>
      <c r="B25" s="217" t="s">
        <v>147</v>
      </c>
      <c r="C25" s="221" t="str">
        <f>VLOOKUP(B25,Tableau16[],8,FALSE)</f>
        <v>XK</v>
      </c>
      <c r="D25" s="218">
        <f>VLOOKUP(B25,Tableau16[],14,FALSE)</f>
        <v>27</v>
      </c>
      <c r="E25" s="219">
        <v>0</v>
      </c>
      <c r="F25" s="219">
        <v>0.17</v>
      </c>
      <c r="G25" s="220" t="str">
        <f>VLOOKUP(B25,Tableau16[],10,FALSE)</f>
        <v>Terreux / Citronné</v>
      </c>
      <c r="H25" s="218" t="str">
        <f>VLOOKUP(B25,Tableau16[],4,FALSE)</f>
        <v>-</v>
      </c>
    </row>
    <row r="26" spans="1:8" ht="24" customHeight="1" x14ac:dyDescent="0.3">
      <c r="A26" s="450"/>
      <c r="B26" s="217" t="s">
        <v>161</v>
      </c>
      <c r="C26" s="221" t="str">
        <f>VLOOKUP(B26,Tableau16[],8,FALSE)</f>
        <v>Velada</v>
      </c>
      <c r="D26" s="218">
        <f>VLOOKUP(B26,Tableau16[],14,FALSE)</f>
        <v>19.3</v>
      </c>
      <c r="E26" s="219"/>
      <c r="F26" s="219">
        <v>0.15</v>
      </c>
      <c r="G26" s="220" t="str">
        <f>VLOOKUP(B26,Tableau16[],10,FALSE)</f>
        <v>Fruité / FLoral</v>
      </c>
      <c r="H26" s="218" t="str">
        <f>VLOOKUP(B26,Tableau16[],4,FALSE)</f>
        <v>-</v>
      </c>
    </row>
    <row r="27" spans="1:8" ht="24" customHeight="1" x14ac:dyDescent="0.3">
      <c r="A27" s="450"/>
      <c r="B27" s="217" t="s">
        <v>144</v>
      </c>
      <c r="C27" s="221" t="str">
        <f>VLOOKUP(B27,Tableau16[],8,FALSE)</f>
        <v>Promenade</v>
      </c>
      <c r="D27" s="218">
        <f>VLOOKUP(B27,Tableau16[],14,FALSE)</f>
        <v>21.4</v>
      </c>
      <c r="E27" s="219"/>
      <c r="F27" s="219">
        <v>0.14000000000000001</v>
      </c>
      <c r="G27" s="220" t="str">
        <f>VLOOKUP(B27,Tableau16[],10,FALSE)</f>
        <v>Fruité / Floral</v>
      </c>
      <c r="H27" s="218" t="str">
        <f>VLOOKUP(B27,Tableau16[],4,FALSE)</f>
        <v>-</v>
      </c>
    </row>
    <row r="28" spans="1:8" ht="24" customHeight="1" x14ac:dyDescent="0.3">
      <c r="A28" s="450"/>
      <c r="B28" s="217" t="s">
        <v>162</v>
      </c>
      <c r="C28" s="221" t="e">
        <f>VLOOKUP(B28,Tableau16[],8,FALSE)</f>
        <v>#N/A</v>
      </c>
      <c r="D28" s="218" t="e">
        <f>VLOOKUP(B28,Tableau16[],14,FALSE)</f>
        <v>#N/A</v>
      </c>
      <c r="E28" s="219"/>
      <c r="F28" s="219">
        <v>0.11</v>
      </c>
      <c r="G28" s="220" t="e">
        <f>VLOOKUP(B28,Tableau16[],10,FALSE)</f>
        <v>#N/A</v>
      </c>
      <c r="H28" s="218" t="e">
        <f>VLOOKUP(B28,Tableau16[],4,FALSE)</f>
        <v>#N/A</v>
      </c>
    </row>
    <row r="29" spans="1:8" ht="24" customHeight="1" thickBot="1" x14ac:dyDescent="0.35">
      <c r="A29" s="451"/>
      <c r="B29" s="256" t="s">
        <v>148</v>
      </c>
      <c r="C29" s="257" t="str">
        <f>VLOOKUP(B29,Tableau16[],8,FALSE)</f>
        <v>T'es Dans L'Champ</v>
      </c>
      <c r="D29" s="258">
        <f>VLOOKUP(B29,Tableau16[],14,FALSE)</f>
        <v>19.899999999999999</v>
      </c>
      <c r="E29" s="259">
        <v>0</v>
      </c>
      <c r="F29" s="259">
        <v>0.18</v>
      </c>
      <c r="G29" s="260" t="str">
        <f>VLOOKUP(B29,Tableau16[],10,FALSE)</f>
        <v>-</v>
      </c>
      <c r="H29" s="258" t="str">
        <f>VLOOKUP(B29,Tableau16[],4,FALSE)</f>
        <v>Qc</v>
      </c>
    </row>
    <row r="30" spans="1:8" ht="9.75" customHeight="1" x14ac:dyDescent="0.3">
      <c r="A30" s="183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170"/>
      <c r="C33" s="169"/>
      <c r="D33" s="171"/>
      <c r="E33" s="172"/>
      <c r="F33" s="172"/>
      <c r="G33" s="169"/>
    </row>
    <row r="34" spans="1:7" ht="19.5" customHeight="1" x14ac:dyDescent="0.3">
      <c r="A34" s="169"/>
      <c r="B34" s="170"/>
      <c r="C34" s="169"/>
      <c r="D34" s="171"/>
      <c r="E34" s="172"/>
      <c r="F34" s="172"/>
      <c r="G34" s="169"/>
    </row>
    <row r="35" spans="1:7" ht="19.5" customHeight="1" x14ac:dyDescent="0.3">
      <c r="A35" s="169"/>
      <c r="B35" s="9"/>
      <c r="C35" s="173"/>
      <c r="D35" s="174"/>
      <c r="E35" s="184"/>
      <c r="F35" s="8"/>
      <c r="G35" s="8"/>
    </row>
    <row r="36" spans="1:7" ht="8.25" customHeight="1" x14ac:dyDescent="0.3">
      <c r="A36" s="4"/>
      <c r="B36" s="61"/>
      <c r="C36" s="61"/>
      <c r="D36" s="61"/>
      <c r="E36" s="61"/>
      <c r="F36" s="61"/>
      <c r="G36" s="61"/>
    </row>
    <row r="37" spans="1:7" ht="39" customHeight="1" x14ac:dyDescent="0.3">
      <c r="A37" s="61"/>
      <c r="B37" s="176"/>
      <c r="C37" s="176"/>
      <c r="D37" s="177"/>
      <c r="E37" s="11"/>
      <c r="F37" s="11"/>
      <c r="G37" s="177"/>
    </row>
    <row r="38" spans="1:7" ht="19.5" customHeight="1" x14ac:dyDescent="0.3">
      <c r="A38" s="175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69"/>
      <c r="D39" s="171"/>
      <c r="E39" s="179"/>
      <c r="F39" s="172"/>
      <c r="G39" s="169"/>
    </row>
    <row r="40" spans="1:7" ht="19.5" customHeight="1" x14ac:dyDescent="0.3">
      <c r="A40" s="169"/>
      <c r="B40" s="170"/>
      <c r="C40" s="170"/>
      <c r="D40" s="171"/>
      <c r="E40" s="179"/>
      <c r="F40" s="172"/>
      <c r="G40" s="169"/>
    </row>
    <row r="41" spans="1:7" ht="19.5" customHeight="1" x14ac:dyDescent="0.3">
      <c r="A41" s="169"/>
      <c r="B41" s="170"/>
      <c r="C41" s="170"/>
      <c r="D41" s="171"/>
      <c r="E41" s="179"/>
      <c r="F41" s="172"/>
      <c r="G41" s="169"/>
    </row>
    <row r="42" spans="1:7" ht="19.5" customHeight="1" x14ac:dyDescent="0.3">
      <c r="A42" s="169"/>
      <c r="B42" s="4"/>
      <c r="C42" s="4"/>
      <c r="D42" s="167"/>
      <c r="E42" s="185"/>
      <c r="F42" s="198"/>
      <c r="G42" s="4"/>
    </row>
    <row r="43" spans="1:7" ht="33.75" x14ac:dyDescent="0.3">
      <c r="A43" s="169"/>
      <c r="B43" s="61"/>
      <c r="C43" s="61"/>
      <c r="D43" s="61"/>
      <c r="E43" s="61"/>
      <c r="F43" s="61"/>
      <c r="G43" s="61"/>
    </row>
    <row r="44" spans="1:7" ht="39.75" customHeight="1" x14ac:dyDescent="0.3">
      <c r="A44" s="61"/>
      <c r="B44" s="176"/>
      <c r="C44" s="176"/>
      <c r="D44" s="178"/>
      <c r="E44" s="11"/>
      <c r="F44" s="11"/>
      <c r="G44" s="177"/>
    </row>
    <row r="45" spans="1:7" x14ac:dyDescent="0.3">
      <c r="A45" s="175"/>
      <c r="B45" s="170"/>
      <c r="C45" s="170"/>
      <c r="D45" s="171"/>
      <c r="E45" s="186"/>
      <c r="F45" s="186"/>
      <c r="G45" s="171"/>
    </row>
    <row r="46" spans="1:7" x14ac:dyDescent="0.3">
      <c r="A46" s="169"/>
      <c r="B46" s="170"/>
      <c r="C46" s="170"/>
      <c r="D46" s="180"/>
      <c r="E46" s="179"/>
      <c r="F46" s="172"/>
      <c r="G46" s="171"/>
    </row>
    <row r="47" spans="1:7" x14ac:dyDescent="0.3">
      <c r="A47" s="169"/>
      <c r="B47" s="170"/>
      <c r="C47" s="169"/>
      <c r="D47" s="171"/>
      <c r="E47" s="179"/>
      <c r="F47" s="172"/>
      <c r="G47" s="171"/>
    </row>
    <row r="48" spans="1:7" x14ac:dyDescent="0.3">
      <c r="A48" s="169"/>
      <c r="B48" s="170"/>
      <c r="C48" s="170"/>
      <c r="D48" s="171"/>
      <c r="E48" s="179"/>
      <c r="F48" s="172"/>
      <c r="G48" s="171"/>
    </row>
    <row r="49" spans="1:7" x14ac:dyDescent="0.3">
      <c r="A49" s="169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4"/>
      <c r="D53" s="167"/>
      <c r="E53" s="185"/>
      <c r="F53" s="198"/>
      <c r="G53" s="4"/>
    </row>
    <row r="54" spans="1:7" x14ac:dyDescent="0.3">
      <c r="A54" s="4"/>
      <c r="B54" s="4"/>
      <c r="C54" s="4"/>
      <c r="D54" s="167"/>
      <c r="E54" s="185"/>
      <c r="F54" s="198"/>
      <c r="G54" s="4"/>
    </row>
    <row r="55" spans="1:7" x14ac:dyDescent="0.3">
      <c r="A55" s="4"/>
      <c r="B55" s="4"/>
      <c r="C55" s="6"/>
      <c r="D55" s="166"/>
      <c r="E55" s="181"/>
      <c r="F55" s="181"/>
      <c r="G55" s="5"/>
    </row>
    <row r="56" spans="1:7" x14ac:dyDescent="0.3">
      <c r="A56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9"/>
  </mergeCells>
  <conditionalFormatting sqref="C55:C1048576 C1">
    <cfRule type="cellIs" dxfId="12" priority="1" operator="equal">
      <formula>0</formula>
    </cfRule>
  </conditionalFormatting>
  <dataValidations count="2">
    <dataValidation type="list" allowBlank="1" showInputMessage="1" showErrorMessage="1" sqref="C39:C41 C45:C48" xr:uid="{248C59A9-4F9E-4619-A77C-F5241FB70D29}">
      <formula1>#REF!</formula1>
    </dataValidation>
    <dataValidation type="list" allowBlank="1" showInputMessage="1" showErrorMessage="1" sqref="B1:C1" xr:uid="{F72DBC42-8C26-4280-A03E-ED00C1642B3C}">
      <formula1>hybride1</formula1>
    </dataValidation>
  </dataValidations>
  <printOptions horizontalCentered="1" verticalCentered="1"/>
  <pageMargins left="0.7" right="0.7" top="0.75" bottom="0.75" header="0.3" footer="0.3"/>
  <pageSetup scale="50" fitToHeight="0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outon 2">
              <controlPr defaultSize="0" print="0" autoFill="0" autoPict="0" macro="[0]!tri_77044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1219200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imp_77044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133350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177BD6-8F0C-4C96-9536-863E1ED56439}">
          <x14:formula1>
            <xm:f>'Base données formats'!$A$4:$A$12</xm:f>
          </x14:formula1>
          <xm:sqref>B8:B11</xm:sqref>
        </x14:dataValidation>
        <x14:dataValidation type="list" allowBlank="1" showInputMessage="1" showErrorMessage="1" xr:uid="{DA52FC04-6810-4EE5-B59B-3204DE397C81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6E0C46EC-7319-4BA4-AC62-34F3EA7D332B}">
          <x14:formula1>
            <xm:f>'Base données formats'!$A$21:$A$69</xm:f>
          </x14:formula1>
          <xm:sqref>B13:B29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1D8A0-CFC2-4B61-9B2D-CF0DD8F7A971}">
  <sheetPr codeName="Feuil18">
    <pageSetUpPr fitToPage="1"/>
  </sheetPr>
  <dimension ref="A1:H63"/>
  <sheetViews>
    <sheetView showGridLines="0" topLeftCell="A2" zoomScale="70" zoomScaleNormal="70" workbookViewId="0">
      <selection activeCell="A2" sqref="A2:H37"/>
    </sheetView>
  </sheetViews>
  <sheetFormatPr baseColWidth="10" defaultColWidth="11.42578125" defaultRowHeight="17.25" x14ac:dyDescent="0.3"/>
  <cols>
    <col min="1" max="1" width="6.28515625" style="1" bestFit="1" customWidth="1"/>
    <col min="2" max="2" width="75.28515625" style="1" bestFit="1" customWidth="1"/>
    <col min="3" max="3" width="34.8554687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2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314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thickBot="1" x14ac:dyDescent="0.35">
      <c r="A4" s="448"/>
      <c r="B4" s="308" t="s">
        <v>124</v>
      </c>
      <c r="C4" s="310" t="str">
        <f>VLOOKUP(B4,Tableau15[],8,FALSE)</f>
        <v>Vert</v>
      </c>
      <c r="D4" s="309">
        <f>VLOOKUP(B4,Tableau15[],14,FALSE)</f>
        <v>27</v>
      </c>
      <c r="E4" s="311">
        <v>0.04</v>
      </c>
      <c r="F4" s="312">
        <v>0.14000000000000001</v>
      </c>
      <c r="G4" s="313" t="str">
        <f>VLOOKUP(B4,Tableau15[],10,FALSE)</f>
        <v>Épicé / Fruité</v>
      </c>
      <c r="H4" s="310" t="str">
        <f>VLOOKUP(B4,Tableau15[],4,FALSE)</f>
        <v>Qc</v>
      </c>
    </row>
    <row r="5" spans="1:8" ht="13.5" customHeight="1" thickBot="1" x14ac:dyDescent="0.35">
      <c r="A5" s="233"/>
      <c r="B5" s="234"/>
      <c r="C5" s="235"/>
      <c r="D5" s="236"/>
      <c r="E5" s="237"/>
      <c r="F5" s="237"/>
      <c r="G5" s="238"/>
    </row>
    <row r="6" spans="1:8" ht="21.75" customHeight="1" thickBot="1" x14ac:dyDescent="0.35">
      <c r="A6" s="446" t="s">
        <v>125</v>
      </c>
      <c r="B6" s="239" t="s">
        <v>3</v>
      </c>
      <c r="C6" s="188" t="s">
        <v>4</v>
      </c>
      <c r="D6" s="240" t="s">
        <v>6</v>
      </c>
      <c r="E6" s="189" t="s">
        <v>40</v>
      </c>
      <c r="F6" s="197" t="s">
        <v>41</v>
      </c>
      <c r="G6" s="241" t="s">
        <v>122</v>
      </c>
      <c r="H6" s="242" t="s">
        <v>123</v>
      </c>
    </row>
    <row r="7" spans="1:8" ht="27" customHeight="1" thickBot="1" x14ac:dyDescent="0.35">
      <c r="A7" s="447"/>
      <c r="B7" s="252" t="s">
        <v>126</v>
      </c>
      <c r="C7" s="232" t="str">
        <f>VLOOKUP(B7,Tableau14[],8,FALSE)</f>
        <v>Wio</v>
      </c>
      <c r="D7" s="232">
        <f>VLOOKUP(B7,Tableau14[],14,FALSE)</f>
        <v>33.9</v>
      </c>
      <c r="E7" s="254">
        <v>0.09</v>
      </c>
      <c r="F7" s="231">
        <v>0.13</v>
      </c>
      <c r="G7" s="231" t="str">
        <f>VLOOKUP(B7,Tableau14[],10,FALSE)</f>
        <v>Citronné / Sucré</v>
      </c>
      <c r="H7" s="232" t="str">
        <f>VLOOKUP(B7,Tableau14[],4,FALSE)</f>
        <v>Qc</v>
      </c>
    </row>
    <row r="8" spans="1:8" ht="27" customHeight="1" x14ac:dyDescent="0.3">
      <c r="A8" s="447"/>
      <c r="B8" s="253" t="s">
        <v>127</v>
      </c>
      <c r="C8" s="232" t="str">
        <f>VLOOKUP(B8,Tableau14[],8,FALSE)</f>
        <v>Trailblazer</v>
      </c>
      <c r="D8" s="232">
        <f>VLOOKUP(B8,Tableau14[],14,FALSE)</f>
        <v>22.9</v>
      </c>
      <c r="E8" s="255">
        <v>0.04</v>
      </c>
      <c r="F8" s="222">
        <v>7.0000000000000007E-2</v>
      </c>
      <c r="G8" s="231" t="str">
        <f>VLOOKUP(B8,Tableau14[],10,FALSE)</f>
        <v>Fruité / Sucré</v>
      </c>
      <c r="H8" s="232" t="str">
        <f>VLOOKUP(B8,Tableau14[],4,FALSE)</f>
        <v>-</v>
      </c>
    </row>
    <row r="9" spans="1:8" ht="27" customHeight="1" thickBot="1" x14ac:dyDescent="0.35">
      <c r="A9" s="447"/>
      <c r="B9" s="253" t="s">
        <v>163</v>
      </c>
      <c r="C9" s="218" t="str">
        <f>VLOOKUP(B9,Tableau14[],8,FALSE)</f>
        <v>Nueva+</v>
      </c>
      <c r="D9" s="218">
        <f>VLOOKUP(B9,Tableau14[],14,FALSE)</f>
        <v>26.9</v>
      </c>
      <c r="E9" s="255">
        <v>0</v>
      </c>
      <c r="F9" s="222">
        <v>0.13</v>
      </c>
      <c r="G9" s="261" t="str">
        <f>VLOOKUP(B9,Tableau14[],10,FALSE)</f>
        <v>Boisé / Citronné</v>
      </c>
      <c r="H9" s="218" t="str">
        <f>VLOOKUP(B9,Tableau14[],4,FALSE)</f>
        <v>Qc</v>
      </c>
    </row>
    <row r="10" spans="1:8" ht="24" thickBot="1" x14ac:dyDescent="0.35">
      <c r="A10" s="447"/>
      <c r="B10" s="253" t="s">
        <v>128</v>
      </c>
      <c r="C10" s="232" t="str">
        <f>VLOOKUP(B10,Tableau14[],8,FALSE)</f>
        <v>Solei</v>
      </c>
      <c r="D10" s="232">
        <f>VLOOKUP(B10,Tableau14[],14,FALSE)</f>
        <v>27</v>
      </c>
      <c r="E10" s="255">
        <v>0</v>
      </c>
      <c r="F10" s="222">
        <v>0.15</v>
      </c>
      <c r="G10" s="261" t="str">
        <f>VLOOKUP(B10,Tableau14[],10,FALSE)</f>
        <v>Mouffette / Épicé</v>
      </c>
      <c r="H10" s="262" t="str">
        <f>VLOOKUP(B10,Tableau14[],4,FALSE)</f>
        <v>-</v>
      </c>
    </row>
    <row r="11" spans="1:8" ht="21" customHeight="1" thickBot="1" x14ac:dyDescent="0.35">
      <c r="A11" s="303"/>
      <c r="B11" s="243"/>
      <c r="C11" s="205"/>
      <c r="D11" s="205"/>
      <c r="E11" s="206"/>
      <c r="F11" s="244"/>
      <c r="G11" s="205"/>
    </row>
    <row r="12" spans="1:8" ht="21" hidden="1" customHeight="1" thickBot="1" x14ac:dyDescent="0.35">
      <c r="A12" s="302"/>
      <c r="B12" s="243"/>
      <c r="C12" s="205"/>
      <c r="D12" s="205"/>
      <c r="E12" s="206"/>
      <c r="F12" s="244"/>
      <c r="G12" s="205"/>
    </row>
    <row r="13" spans="1:8" ht="21" customHeight="1" thickBot="1" x14ac:dyDescent="0.35">
      <c r="A13" s="449" t="s">
        <v>129</v>
      </c>
      <c r="B13" s="190" t="s">
        <v>130</v>
      </c>
      <c r="C13" s="182" t="s">
        <v>4</v>
      </c>
      <c r="D13" s="191" t="s">
        <v>6</v>
      </c>
      <c r="E13" s="192" t="s">
        <v>40</v>
      </c>
      <c r="F13" s="226" t="s">
        <v>41</v>
      </c>
      <c r="G13" s="192" t="s">
        <v>122</v>
      </c>
      <c r="H13" s="227" t="s">
        <v>123</v>
      </c>
    </row>
    <row r="14" spans="1:8" ht="24" customHeight="1" x14ac:dyDescent="0.3">
      <c r="A14" s="450"/>
      <c r="B14" s="217" t="s">
        <v>131</v>
      </c>
      <c r="C14" s="272" t="str">
        <f>VLOOKUP(B14,Tableau16[],8,FALSE)</f>
        <v>Orchid</v>
      </c>
      <c r="D14" s="218">
        <f>VLOOKUP(B14,Tableau16[],14,FALSE)</f>
        <v>25.6</v>
      </c>
      <c r="E14" s="219">
        <v>0.11</v>
      </c>
      <c r="F14" s="219">
        <v>7.0000000000000007E-2</v>
      </c>
      <c r="G14" s="220" t="str">
        <f>VLOOKUP(B14,Tableau16[],10,FALSE)</f>
        <v>Fruité / Sucré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132</v>
      </c>
      <c r="C15" s="221" t="str">
        <f>VLOOKUP(B15,Tableau16[],8,FALSE)</f>
        <v>Clem &amp; Co</v>
      </c>
      <c r="D15" s="218">
        <f>VLOOKUP(B15,Tableau16[],14,FALSE)</f>
        <v>29.9</v>
      </c>
      <c r="E15" s="219">
        <v>0.11</v>
      </c>
      <c r="F15" s="219">
        <v>0.15</v>
      </c>
      <c r="G15" s="220" t="str">
        <f>VLOOKUP(B15,Tableau16[],10,FALSE)</f>
        <v>Fruité / Floral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164</v>
      </c>
      <c r="C16" s="221" t="str">
        <f>VLOOKUP(B16,Tableau16[],8,FALSE)</f>
        <v>Charlebois</v>
      </c>
      <c r="D16" s="218">
        <f>VLOOKUP(B16,Tableau16[],14,FALSE)</f>
        <v>27.6</v>
      </c>
      <c r="E16" s="219">
        <v>0.09</v>
      </c>
      <c r="F16" s="219">
        <v>0.11</v>
      </c>
      <c r="G16" s="220" t="str">
        <f>VLOOKUP(B16,Tableau16[],10,FALSE)</f>
        <v>- / -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134</v>
      </c>
      <c r="C17" s="221" t="str">
        <f>VLOOKUP(B17,Tableau16[],8,FALSE)</f>
        <v>Simply Bare</v>
      </c>
      <c r="D17" s="218">
        <f>VLOOKUP(B17,Tableau16[],14,FALSE)</f>
        <v>42.8</v>
      </c>
      <c r="E17" s="219">
        <v>0.09</v>
      </c>
      <c r="F17" s="219">
        <v>0.12</v>
      </c>
      <c r="G17" s="220" t="str">
        <f>VLOOKUP(B17,Tableau16[],10,FALSE)</f>
        <v>Terreux / Sucré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135</v>
      </c>
      <c r="C18" s="221" t="str">
        <f>VLOOKUP(B18,Tableau16[],8,FALSE)</f>
        <v>Vert</v>
      </c>
      <c r="D18" s="218">
        <f>VLOOKUP(B18,Tableau16[],14,FALSE)</f>
        <v>30.6</v>
      </c>
      <c r="E18" s="219">
        <v>0.09</v>
      </c>
      <c r="F18" s="219">
        <v>0.13</v>
      </c>
      <c r="G18" s="220" t="str">
        <f>VLOOKUP(B18,Tableau16[],10,FALSE)</f>
        <v>Mouffette / Diesel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133</v>
      </c>
      <c r="C19" s="221" t="str">
        <f>VLOOKUP(B19,Tableau16[],8,FALSE)</f>
        <v>Endo</v>
      </c>
      <c r="D19" s="218">
        <f>VLOOKUP(B19,Tableau16[],14,FALSE)</f>
        <v>29.9</v>
      </c>
      <c r="E19" s="219">
        <v>0.08</v>
      </c>
      <c r="F19" s="219">
        <v>0.06</v>
      </c>
      <c r="G19" s="220" t="str">
        <f>VLOOKUP(B19,Tableau16[],10,FALSE)</f>
        <v>Fruité / Citronné</v>
      </c>
      <c r="H19" s="218" t="str">
        <f>VLOOKUP(B19,Tableau16[],4,FALSE)</f>
        <v>Qc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0.08</v>
      </c>
      <c r="F20" s="219">
        <v>0.08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137</v>
      </c>
      <c r="C21" s="221" t="str">
        <f>VLOOKUP(B21,Tableau16[],8,FALSE)</f>
        <v>Solei</v>
      </c>
      <c r="D21" s="218">
        <f>VLOOKUP(B21,Tableau16[],14,FALSE)</f>
        <v>22.1</v>
      </c>
      <c r="E21" s="219">
        <v>0.08</v>
      </c>
      <c r="F21" s="219">
        <v>0.09</v>
      </c>
      <c r="G21" s="220" t="str">
        <f>VLOOKUP(B21,Tableau16[],10,FALSE)</f>
        <v>Citronné / Épicé</v>
      </c>
      <c r="H21" s="218" t="str">
        <f>VLOOKUP(B21,Tableau16[],4,FALSE)</f>
        <v>-</v>
      </c>
    </row>
    <row r="22" spans="1:8" ht="24" customHeight="1" x14ac:dyDescent="0.3">
      <c r="A22" s="450"/>
      <c r="B22" s="217" t="s">
        <v>138</v>
      </c>
      <c r="C22" s="221" t="str">
        <f>VLOOKUP(B22,Tableau16[],8,FALSE)</f>
        <v>Promenade</v>
      </c>
      <c r="D22" s="218">
        <f>VLOOKUP(B22,Tableau16[],14,FALSE)</f>
        <v>19.3</v>
      </c>
      <c r="E22" s="219">
        <v>0.08</v>
      </c>
      <c r="F22" s="219">
        <v>0.11</v>
      </c>
      <c r="G22" s="220" t="str">
        <f>VLOOKUP(B22,Tableau16[],10,FALSE)</f>
        <v>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140</v>
      </c>
      <c r="C23" s="221" t="str">
        <f>VLOOKUP(B23,Tableau16[],8,FALSE)</f>
        <v>Redecan</v>
      </c>
      <c r="D23" s="218">
        <f>VLOOKUP(B23,Tableau16[],14,FALSE)</f>
        <v>22.2</v>
      </c>
      <c r="E23" s="219">
        <v>0.08</v>
      </c>
      <c r="F23" s="219">
        <v>0.11</v>
      </c>
      <c r="G23" s="220" t="str">
        <f>VLOOKUP(B23,Tableau16[],10,FALSE)</f>
        <v>- / -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165</v>
      </c>
      <c r="C24" s="221" t="str">
        <f>VLOOKUP(B24,Tableau16[],8,FALSE)</f>
        <v>Ostara</v>
      </c>
      <c r="D24" s="218">
        <f>VLOOKUP(B24,Tableau16[],14,FALSE)</f>
        <v>36</v>
      </c>
      <c r="E24" s="219">
        <v>0.08</v>
      </c>
      <c r="F24" s="219">
        <v>0.12</v>
      </c>
      <c r="G24" s="220" t="str">
        <f>VLOOKUP(B24,Tableau16[],10,FALSE)</f>
        <v>Mouffette / -</v>
      </c>
      <c r="H24" s="218" t="str">
        <f>VLOOKUP(B24,Tableau16[],4,FALSE)</f>
        <v>Qc</v>
      </c>
    </row>
    <row r="25" spans="1:8" ht="24" customHeight="1" x14ac:dyDescent="0.3">
      <c r="A25" s="450"/>
      <c r="B25" s="217" t="s">
        <v>141</v>
      </c>
      <c r="C25" s="221" t="str">
        <f>VLOOKUP(B25,Tableau16[],8,FALSE)</f>
        <v>Color Cannabis</v>
      </c>
      <c r="D25" s="218">
        <f>VLOOKUP(B25,Tableau16[],14,FALSE)</f>
        <v>29.7</v>
      </c>
      <c r="E25" s="219">
        <v>0.08</v>
      </c>
      <c r="F25" s="219">
        <v>0.13</v>
      </c>
      <c r="G25" s="220" t="str">
        <f>VLOOKUP(B25,Tableau16[],10,FALSE)</f>
        <v>Floral / Fruité</v>
      </c>
      <c r="H25" s="218" t="str">
        <f>VLOOKUP(B25,Tableau16[],4,FALSE)</f>
        <v>-</v>
      </c>
    </row>
    <row r="26" spans="1:8" ht="24" customHeight="1" x14ac:dyDescent="0.3">
      <c r="A26" s="450"/>
      <c r="B26" s="217" t="s">
        <v>139</v>
      </c>
      <c r="C26" s="273" t="str">
        <f>VLOOKUP(B26,Tableau16[],8,FALSE)</f>
        <v>Twd.</v>
      </c>
      <c r="D26" s="218">
        <f>VLOOKUP(B26,Tableau16[],14,FALSE)</f>
        <v>21.2</v>
      </c>
      <c r="E26" s="219">
        <v>7.0000000000000007E-2</v>
      </c>
      <c r="F26" s="219">
        <v>0.06</v>
      </c>
      <c r="G26" s="220" t="str">
        <f>VLOOKUP(B26,Tableau16[],10,FALSE)</f>
        <v>-</v>
      </c>
      <c r="H26" s="218" t="str">
        <f>VLOOKUP(B26,Tableau16[],4,FALSE)</f>
        <v>-</v>
      </c>
    </row>
    <row r="27" spans="1:8" ht="24" customHeight="1" x14ac:dyDescent="0.3">
      <c r="A27" s="450"/>
      <c r="B27" s="217" t="s">
        <v>142</v>
      </c>
      <c r="C27" s="221" t="str">
        <f>VLOOKUP(B27,Tableau16[],8,FALSE)</f>
        <v>5 Points Cannabis</v>
      </c>
      <c r="D27" s="218">
        <f>VLOOKUP(B27,Tableau16[],14,FALSE)</f>
        <v>27.6</v>
      </c>
      <c r="E27" s="219">
        <v>7.0000000000000007E-2</v>
      </c>
      <c r="F27" s="219">
        <v>0.1</v>
      </c>
      <c r="G27" s="220" t="str">
        <f>VLOOKUP(B27,Tableau16[],10,FALSE)</f>
        <v>Fruité / Citronné</v>
      </c>
      <c r="H27" s="218" t="str">
        <f>VLOOKUP(B27,Tableau16[],4,FALSE)</f>
        <v>Qc</v>
      </c>
    </row>
    <row r="28" spans="1:8" ht="24" customHeight="1" x14ac:dyDescent="0.3">
      <c r="A28" s="450"/>
      <c r="B28" s="217" t="s">
        <v>143</v>
      </c>
      <c r="C28" s="221" t="str">
        <f>VLOOKUP(B28,Tableau16[],8,FALSE)</f>
        <v>Bud Lafleur</v>
      </c>
      <c r="D28" s="218">
        <f>VLOOKUP(B28,Tableau16[],14,FALSE)</f>
        <v>27</v>
      </c>
      <c r="E28" s="219">
        <v>0.06</v>
      </c>
      <c r="F28" s="219">
        <v>0.06</v>
      </c>
      <c r="G28" s="220" t="str">
        <f>VLOOKUP(B28,Tableau16[],10,FALSE)</f>
        <v>Fruité / Sucré</v>
      </c>
      <c r="H28" s="218" t="str">
        <f>VLOOKUP(B28,Tableau16[],4,FALSE)</f>
        <v>Qc</v>
      </c>
    </row>
    <row r="29" spans="1:8" ht="24" customHeight="1" x14ac:dyDescent="0.3">
      <c r="A29" s="450"/>
      <c r="B29" s="217" t="s">
        <v>151</v>
      </c>
      <c r="C29" s="221" t="str">
        <f>VLOOKUP(B29,Tableau16[],8,FALSE)</f>
        <v>De La Ferme</v>
      </c>
      <c r="D29" s="218">
        <f>VLOOKUP(B29,Tableau16[],14,FALSE)</f>
        <v>17.3</v>
      </c>
      <c r="E29" s="219">
        <v>0</v>
      </c>
      <c r="F29" s="219">
        <v>0.1</v>
      </c>
      <c r="G29" s="220" t="str">
        <f>VLOOKUP(B29,Tableau16[],10,FALSE)</f>
        <v>Épicé / FLoral</v>
      </c>
      <c r="H29" s="218" t="str">
        <f>VLOOKUP(B29,Tableau16[],4,FALSE)</f>
        <v>Qc</v>
      </c>
    </row>
    <row r="30" spans="1:8" ht="24" customHeight="1" x14ac:dyDescent="0.3">
      <c r="A30" s="450"/>
      <c r="B30" s="217" t="s">
        <v>149</v>
      </c>
      <c r="C30" s="221" t="str">
        <f>VLOOKUP(B30,Tableau16[],8,FALSE)</f>
        <v>Équilibre</v>
      </c>
      <c r="D30" s="218">
        <f>VLOOKUP(B30,Tableau16[],14,FALSE)</f>
        <v>22.3</v>
      </c>
      <c r="E30" s="219">
        <v>0</v>
      </c>
      <c r="F30" s="219">
        <v>0.11</v>
      </c>
      <c r="G30" s="220" t="str">
        <f>VLOOKUP(B30,Tableau16[],10,FALSE)</f>
        <v>-</v>
      </c>
      <c r="H30" s="218" t="str">
        <f>VLOOKUP(B30,Tableau16[],4,FALSE)</f>
        <v>Qc</v>
      </c>
    </row>
    <row r="31" spans="1:8" ht="24" customHeight="1" x14ac:dyDescent="0.3">
      <c r="A31" s="450"/>
      <c r="B31" s="217" t="s">
        <v>150</v>
      </c>
      <c r="C31" s="221" t="str">
        <f>VLOOKUP(B31,Tableau16[],8,FALSE)</f>
        <v>Lunaire</v>
      </c>
      <c r="D31" s="218">
        <f>VLOOKUP(B31,Tableau16[],14,FALSE)</f>
        <v>25.8</v>
      </c>
      <c r="E31" s="219">
        <v>0</v>
      </c>
      <c r="F31" s="219">
        <v>0.14000000000000001</v>
      </c>
      <c r="G31" s="220" t="str">
        <f>VLOOKUP(B31,Tableau16[],10,FALSE)</f>
        <v>Floral / Fruité</v>
      </c>
      <c r="H31" s="218" t="str">
        <f>VLOOKUP(B31,Tableau16[],4,FALSE)</f>
        <v>Qc</v>
      </c>
    </row>
    <row r="32" spans="1:8" ht="24" customHeight="1" x14ac:dyDescent="0.3">
      <c r="A32" s="450"/>
      <c r="B32" s="217" t="s">
        <v>146</v>
      </c>
      <c r="C32" s="221" t="str">
        <f>VLOOKUP(B32,Tableau16[],8,FALSE)</f>
        <v>Cannabiomedic</v>
      </c>
      <c r="D32" s="218">
        <f>VLOOKUP(B32,Tableau16[],14,FALSE)</f>
        <v>27.6</v>
      </c>
      <c r="E32" s="219">
        <v>0</v>
      </c>
      <c r="F32" s="219">
        <v>0.14000000000000001</v>
      </c>
      <c r="G32" s="220" t="str">
        <f>VLOOKUP(B32,Tableau16[],10,FALSE)</f>
        <v>-</v>
      </c>
      <c r="H32" s="218" t="str">
        <f>VLOOKUP(B32,Tableau16[],4,FALSE)</f>
        <v>Qc</v>
      </c>
    </row>
    <row r="33" spans="1:8" ht="24" customHeight="1" x14ac:dyDescent="0.3">
      <c r="A33" s="450"/>
      <c r="B33" s="217" t="s">
        <v>166</v>
      </c>
      <c r="C33" s="221" t="str">
        <f>VLOOKUP(B33,Tableau16[],8,FALSE)</f>
        <v>Redecan</v>
      </c>
      <c r="D33" s="218">
        <f>VLOOKUP(B33,Tableau16[],14,FALSE)</f>
        <v>22.2</v>
      </c>
      <c r="E33" s="219">
        <v>0</v>
      </c>
      <c r="F33" s="219">
        <v>0.15</v>
      </c>
      <c r="G33" s="220" t="str">
        <f>VLOOKUP(B33,Tableau16[],10,FALSE)</f>
        <v>- / -</v>
      </c>
      <c r="H33" s="218" t="str">
        <f>VLOOKUP(B33,Tableau16[],4,FALSE)</f>
        <v>-</v>
      </c>
    </row>
    <row r="34" spans="1:8" ht="24" customHeight="1" x14ac:dyDescent="0.3">
      <c r="A34" s="450"/>
      <c r="B34" s="217" t="s">
        <v>144</v>
      </c>
      <c r="C34" s="221" t="str">
        <f>VLOOKUP(B34,Tableau16[],8,FALSE)</f>
        <v>Promenade</v>
      </c>
      <c r="D34" s="279">
        <f>VLOOKUP(B34,Tableau16[],14,FALSE)</f>
        <v>21.4</v>
      </c>
      <c r="E34" s="219">
        <v>0</v>
      </c>
      <c r="F34" s="219">
        <v>0.16</v>
      </c>
      <c r="G34" s="220" t="str">
        <f>VLOOKUP(B34,Tableau16[],10,FALSE)</f>
        <v>Fruité / Floral</v>
      </c>
      <c r="H34" s="278" t="str">
        <f>VLOOKUP(B34,Tableau16[],4,FALSE)</f>
        <v>-</v>
      </c>
    </row>
    <row r="35" spans="1:8" ht="24" customHeight="1" x14ac:dyDescent="0.3">
      <c r="A35" s="450"/>
      <c r="B35" s="217" t="s">
        <v>145</v>
      </c>
      <c r="C35" s="221" t="str">
        <f>VLOOKUP(B35,Tableau16[],8,FALSE)</f>
        <v>Canna Farms</v>
      </c>
      <c r="D35" s="218">
        <f>VLOOKUP(B35,Tableau16[],14,FALSE)</f>
        <v>30.6</v>
      </c>
      <c r="E35" s="219">
        <v>0</v>
      </c>
      <c r="F35" s="219">
        <v>0.17</v>
      </c>
      <c r="G35" s="220" t="str">
        <f>VLOOKUP(B35,Tableau16[],10,FALSE)</f>
        <v>Fruité / Boisé</v>
      </c>
      <c r="H35" s="218" t="str">
        <f>VLOOKUP(B35,Tableau16[],4,FALSE)</f>
        <v>-</v>
      </c>
    </row>
    <row r="36" spans="1:8" ht="24" customHeight="1" x14ac:dyDescent="0.3">
      <c r="A36" s="450"/>
      <c r="B36" s="217" t="s">
        <v>147</v>
      </c>
      <c r="C36" s="221" t="str">
        <f>VLOOKUP(B36,Tableau16[],8,FALSE)</f>
        <v>XK</v>
      </c>
      <c r="D36" s="218">
        <f>VLOOKUP(B36,Tableau16[],14,FALSE)</f>
        <v>27</v>
      </c>
      <c r="E36" s="219">
        <v>0</v>
      </c>
      <c r="F36" s="219">
        <v>0.17</v>
      </c>
      <c r="G36" s="220" t="str">
        <f>VLOOKUP(B36,Tableau16[],10,FALSE)</f>
        <v>Terreux / Citronné</v>
      </c>
      <c r="H36" s="218" t="str">
        <f>VLOOKUP(B36,Tableau16[],4,FALSE)</f>
        <v>-</v>
      </c>
    </row>
    <row r="37" spans="1:8" ht="24" customHeight="1" x14ac:dyDescent="0.3">
      <c r="A37" s="450"/>
      <c r="B37" s="217" t="s">
        <v>148</v>
      </c>
      <c r="C37" s="221" t="str">
        <f>VLOOKUP(B37,Tableau16[],8,FALSE)</f>
        <v>T'es Dans L'Champ</v>
      </c>
      <c r="D37" s="218">
        <f>VLOOKUP(B37,Tableau16[],14,FALSE)</f>
        <v>19.899999999999999</v>
      </c>
      <c r="E37" s="219">
        <v>0</v>
      </c>
      <c r="F37" s="219">
        <v>0.18</v>
      </c>
      <c r="G37" s="220" t="str">
        <f>VLOOKUP(B37,Tableau16[],10,FALSE)</f>
        <v>-</v>
      </c>
      <c r="H37" s="218" t="str">
        <f>VLOOKUP(B37,Tableau16[],4,FALSE)</f>
        <v>Qc</v>
      </c>
    </row>
    <row r="38" spans="1:8" ht="19.5" customHeight="1" x14ac:dyDescent="0.3">
      <c r="A38" s="302"/>
      <c r="B38" s="170"/>
      <c r="C38" s="169"/>
      <c r="D38" s="171"/>
      <c r="E38" s="172"/>
      <c r="F38" s="172"/>
      <c r="G38" s="169"/>
    </row>
    <row r="39" spans="1:8" ht="19.5" customHeight="1" x14ac:dyDescent="0.3">
      <c r="A39" s="169"/>
      <c r="B39" s="170"/>
      <c r="C39" s="169"/>
      <c r="D39" s="171"/>
      <c r="E39" s="172"/>
      <c r="F39" s="172"/>
      <c r="G39" s="169"/>
    </row>
    <row r="40" spans="1:8" ht="19.5" customHeight="1" x14ac:dyDescent="0.3">
      <c r="A40" s="169"/>
      <c r="B40" s="170"/>
      <c r="C40" s="169"/>
      <c r="D40" s="171"/>
      <c r="E40" s="172"/>
      <c r="F40" s="172"/>
      <c r="G40" s="169"/>
    </row>
    <row r="41" spans="1:8" ht="19.5" customHeight="1" x14ac:dyDescent="0.3">
      <c r="A41" s="169"/>
      <c r="B41" s="170"/>
      <c r="C41" s="169"/>
      <c r="D41" s="171"/>
      <c r="E41" s="172"/>
      <c r="F41" s="172"/>
      <c r="G41" s="169"/>
    </row>
    <row r="42" spans="1:8" ht="19.5" customHeight="1" x14ac:dyDescent="0.3">
      <c r="A42" s="169"/>
      <c r="B42" s="170"/>
      <c r="C42" s="169"/>
      <c r="D42" s="171"/>
      <c r="E42" s="172"/>
      <c r="F42" s="172"/>
      <c r="G42" s="169"/>
    </row>
    <row r="43" spans="1:8" ht="8.25" customHeight="1" x14ac:dyDescent="0.3">
      <c r="A43" s="4"/>
      <c r="B43" s="9"/>
      <c r="C43" s="173"/>
      <c r="D43" s="174"/>
      <c r="E43" s="184"/>
      <c r="F43" s="8"/>
      <c r="G43" s="8"/>
    </row>
    <row r="44" spans="1:8" ht="39" customHeight="1" x14ac:dyDescent="0.3">
      <c r="A44" s="61"/>
      <c r="B44" s="61"/>
      <c r="C44" s="61"/>
      <c r="D44" s="61"/>
      <c r="E44" s="61"/>
      <c r="F44" s="61"/>
      <c r="G44" s="61"/>
    </row>
    <row r="45" spans="1:8" ht="19.5" customHeight="1" x14ac:dyDescent="0.3">
      <c r="A45" s="175"/>
      <c r="B45" s="176"/>
      <c r="C45" s="176"/>
      <c r="D45" s="177"/>
      <c r="E45" s="11"/>
      <c r="F45" s="11"/>
      <c r="G45" s="177"/>
    </row>
    <row r="46" spans="1:8" ht="19.5" customHeight="1" x14ac:dyDescent="0.3">
      <c r="A46" s="169"/>
      <c r="B46" s="170"/>
      <c r="C46" s="170"/>
      <c r="D46" s="171"/>
      <c r="E46" s="179"/>
      <c r="F46" s="172"/>
      <c r="G46" s="169"/>
    </row>
    <row r="47" spans="1:8" ht="19.5" customHeight="1" x14ac:dyDescent="0.3">
      <c r="A47" s="169"/>
      <c r="B47" s="170"/>
      <c r="C47" s="169"/>
      <c r="D47" s="171"/>
      <c r="E47" s="179"/>
      <c r="F47" s="172"/>
      <c r="G47" s="169"/>
    </row>
    <row r="48" spans="1:8" ht="19.5" customHeight="1" x14ac:dyDescent="0.3">
      <c r="A48" s="169"/>
      <c r="B48" s="170"/>
      <c r="C48" s="170"/>
      <c r="D48" s="171"/>
      <c r="E48" s="179"/>
      <c r="F48" s="172"/>
      <c r="G48" s="169"/>
    </row>
    <row r="49" spans="1:7" ht="19.5" customHeight="1" x14ac:dyDescent="0.3">
      <c r="A49" s="169"/>
      <c r="B49" s="170"/>
      <c r="C49" s="170"/>
      <c r="D49" s="171"/>
      <c r="E49" s="179"/>
      <c r="F49" s="172"/>
      <c r="G49" s="169"/>
    </row>
    <row r="50" spans="1:7" x14ac:dyDescent="0.3">
      <c r="A50" s="169"/>
      <c r="B50" s="4"/>
      <c r="C50" s="4"/>
      <c r="D50" s="167"/>
      <c r="E50" s="185"/>
      <c r="F50" s="198"/>
      <c r="G50" s="4"/>
    </row>
    <row r="51" spans="1:7" ht="39.75" customHeight="1" x14ac:dyDescent="0.3">
      <c r="A51" s="61"/>
      <c r="B51" s="61"/>
      <c r="C51" s="61"/>
      <c r="D51" s="61"/>
      <c r="E51" s="61"/>
      <c r="F51" s="61"/>
      <c r="G51" s="61"/>
    </row>
    <row r="52" spans="1:7" ht="18.75" x14ac:dyDescent="0.3">
      <c r="A52" s="175"/>
      <c r="B52" s="176"/>
      <c r="C52" s="176"/>
      <c r="D52" s="178"/>
      <c r="E52" s="11"/>
      <c r="F52" s="11"/>
      <c r="G52" s="177"/>
    </row>
    <row r="53" spans="1:7" x14ac:dyDescent="0.3">
      <c r="A53" s="169"/>
      <c r="B53" s="170"/>
      <c r="C53" s="170"/>
      <c r="D53" s="171"/>
      <c r="E53" s="186"/>
      <c r="F53" s="186"/>
      <c r="G53" s="171"/>
    </row>
    <row r="54" spans="1:7" x14ac:dyDescent="0.3">
      <c r="A54" s="169"/>
      <c r="B54" s="170"/>
      <c r="C54" s="170"/>
      <c r="D54" s="180"/>
      <c r="E54" s="179"/>
      <c r="F54" s="172"/>
      <c r="G54" s="171"/>
    </row>
    <row r="55" spans="1:7" x14ac:dyDescent="0.3">
      <c r="A55" s="169"/>
      <c r="B55" s="170"/>
      <c r="C55" s="169"/>
      <c r="D55" s="171"/>
      <c r="E55" s="179"/>
      <c r="F55" s="172"/>
      <c r="G55" s="171"/>
    </row>
    <row r="56" spans="1:7" x14ac:dyDescent="0.3">
      <c r="A56" s="169"/>
      <c r="B56" s="170"/>
      <c r="C56" s="170"/>
      <c r="D56" s="171"/>
      <c r="E56" s="179"/>
      <c r="F56" s="172"/>
      <c r="G56" s="171"/>
    </row>
    <row r="57" spans="1:7" x14ac:dyDescent="0.3">
      <c r="A57" s="4"/>
      <c r="B57" s="4"/>
      <c r="C57" s="4"/>
      <c r="D57" s="167"/>
      <c r="E57" s="185"/>
      <c r="F57" s="198"/>
      <c r="G57" s="4"/>
    </row>
    <row r="58" spans="1:7" x14ac:dyDescent="0.3">
      <c r="A58" s="4"/>
      <c r="B58" s="4"/>
      <c r="C58" s="4"/>
      <c r="D58" s="167"/>
      <c r="E58" s="185"/>
      <c r="F58" s="198"/>
      <c r="G58" s="4"/>
    </row>
    <row r="59" spans="1:7" x14ac:dyDescent="0.3">
      <c r="A59" s="4"/>
      <c r="B59" s="4"/>
      <c r="C59" s="4"/>
      <c r="D59" s="167"/>
      <c r="E59" s="185"/>
      <c r="F59" s="198"/>
      <c r="G59" s="4"/>
    </row>
    <row r="60" spans="1:7" x14ac:dyDescent="0.3">
      <c r="A60" s="4"/>
      <c r="B60" s="4"/>
      <c r="C60" s="4"/>
      <c r="D60" s="167"/>
      <c r="E60" s="185"/>
      <c r="F60" s="198"/>
      <c r="G60" s="4"/>
    </row>
    <row r="61" spans="1:7" x14ac:dyDescent="0.3">
      <c r="A61" s="4"/>
      <c r="B61" s="4"/>
      <c r="C61" s="4"/>
      <c r="D61" s="167"/>
      <c r="E61" s="185"/>
      <c r="F61" s="198"/>
      <c r="G61" s="4"/>
    </row>
    <row r="62" spans="1:7" x14ac:dyDescent="0.3">
      <c r="A62" s="4"/>
      <c r="B62" s="4"/>
      <c r="C62" s="4"/>
      <c r="D62" s="167"/>
      <c r="E62" s="185"/>
      <c r="F62" s="198"/>
      <c r="G62" s="4"/>
    </row>
    <row r="63" spans="1:7" x14ac:dyDescent="0.3">
      <c r="A63" s="4"/>
      <c r="B63" s="4"/>
      <c r="C63" s="6"/>
      <c r="D63" s="166"/>
      <c r="E63" s="181"/>
      <c r="F63" s="181"/>
      <c r="G63" s="5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4"/>
    <mergeCell ref="A6:A10"/>
    <mergeCell ref="A13:A37"/>
  </mergeCells>
  <conditionalFormatting sqref="C63:C1048576 C1">
    <cfRule type="cellIs" dxfId="11" priority="1" operator="equal">
      <formula>0</formula>
    </cfRule>
  </conditionalFormatting>
  <dataValidations count="2">
    <dataValidation type="list" allowBlank="1" showInputMessage="1" showErrorMessage="1" sqref="B1:C1" xr:uid="{9CB23181-E2A7-42A3-B597-89D54D121F00}">
      <formula1>hybride1</formula1>
    </dataValidation>
    <dataValidation type="list" allowBlank="1" showInputMessage="1" showErrorMessage="1" sqref="C47:C49 C53:C56" xr:uid="{6BEE2F93-2FB1-4C09-B32C-E485EB6806F3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paperSize="5" scale="61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outon 2">
              <controlPr defaultSize="0" print="0" autoFill="0" autoPict="0" macro="[0]!tri_77052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1181100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imp_77052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2386D5D-DEB2-4308-AA2D-E430E8C8FE07}">
          <x14:formula1>
            <xm:f>'Base données formats'!$A$16:$A$17</xm:f>
          </x14:formula1>
          <xm:sqref>B4</xm:sqref>
        </x14:dataValidation>
        <x14:dataValidation type="list" allowBlank="1" showInputMessage="1" showErrorMessage="1" xr:uid="{D6E5556A-9430-406E-9E10-3AA4A8496190}">
          <x14:formula1>
            <xm:f>'Base données formats'!$A$21:$A$69</xm:f>
          </x14:formula1>
          <xm:sqref>B14:B37</xm:sqref>
        </x14:dataValidation>
        <x14:dataValidation type="list" allowBlank="1" showInputMessage="1" showErrorMessage="1" xr:uid="{D93CE127-6F90-4CCD-8C56-B173C430680B}">
          <x14:formula1>
            <xm:f>'Base données formats'!$A$4:$A$12</xm:f>
          </x14:formula1>
          <xm:sqref>B7:B12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EE4E0-E862-47F5-8F42-FE2E90AD6BA5}">
  <sheetPr codeName="Feuil20">
    <pageSetUpPr fitToPage="1"/>
  </sheetPr>
  <dimension ref="A1:O64"/>
  <sheetViews>
    <sheetView showGridLines="0" topLeftCell="A5" zoomScale="70" zoomScaleNormal="70" workbookViewId="0">
      <selection activeCell="L25" sqref="L25"/>
    </sheetView>
  </sheetViews>
  <sheetFormatPr baseColWidth="10" defaultColWidth="11.42578125" defaultRowHeight="17.25" x14ac:dyDescent="0.3"/>
  <cols>
    <col min="1" max="1" width="6.28515625" style="1" bestFit="1" customWidth="1"/>
    <col min="2" max="2" width="75.28515625" style="1" bestFit="1" customWidth="1"/>
    <col min="3" max="3" width="34.8554687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2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0.04</v>
      </c>
      <c r="F4" s="231">
        <v>0.13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x14ac:dyDescent="0.3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62" t="str">
        <f>VLOOKUP(B9,Tableau14[],8,FALSE)</f>
        <v>Trailblazer</v>
      </c>
      <c r="D9" s="262">
        <f>VLOOKUP(B9,Tableau14[],14,FALSE)</f>
        <v>22.9</v>
      </c>
      <c r="E9" s="255">
        <v>0.04</v>
      </c>
      <c r="F9" s="222">
        <v>7.0000000000000007E-2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x14ac:dyDescent="0.3">
      <c r="A10" s="447"/>
      <c r="B10" s="253" t="s">
        <v>163</v>
      </c>
      <c r="C10" s="305" t="str">
        <f>VLOOKUP(B10,Tableau14[],8,FALSE)</f>
        <v>Nueva+</v>
      </c>
      <c r="D10" s="305">
        <f>VLOOKUP(B10,Tableau14[],14,FALSE)</f>
        <v>26.9</v>
      </c>
      <c r="E10" s="255">
        <v>0</v>
      </c>
      <c r="F10" s="222">
        <v>0.13</v>
      </c>
      <c r="G10" s="261" t="str">
        <f>VLOOKUP(B10,Tableau14[],10,FALSE)</f>
        <v>Boisé / Citronné</v>
      </c>
      <c r="H10" s="218" t="str">
        <f>VLOOKUP(B10,Tableau14[],4,FALSE)</f>
        <v>Qc</v>
      </c>
    </row>
    <row r="11" spans="1:8" ht="24" thickBot="1" x14ac:dyDescent="0.35">
      <c r="A11" s="447"/>
      <c r="B11" s="253" t="s">
        <v>128</v>
      </c>
      <c r="C11" s="218" t="str">
        <f>VLOOKUP(B11,Tableau14[],8,FALSE)</f>
        <v>Solei</v>
      </c>
      <c r="D11" s="218">
        <f>VLOOKUP(B11,Tableau14[],14,FALSE)</f>
        <v>27</v>
      </c>
      <c r="E11" s="255">
        <v>0</v>
      </c>
      <c r="F11" s="222">
        <v>0.15</v>
      </c>
      <c r="G11" s="261" t="str">
        <f>VLOOKUP(B11,Tableau14[],10,FALSE)</f>
        <v>Mouffette / Épicé</v>
      </c>
      <c r="H11" s="262" t="str">
        <f>VLOOKUP(B11,Tableau14[],4,FALSE)</f>
        <v>-</v>
      </c>
    </row>
    <row r="12" spans="1:8" ht="21" customHeight="1" thickBot="1" x14ac:dyDescent="0.35">
      <c r="A12" s="303"/>
      <c r="B12" s="243"/>
      <c r="C12" s="205"/>
      <c r="D12" s="205"/>
      <c r="E12" s="206"/>
      <c r="F12" s="244"/>
      <c r="G12" s="205"/>
    </row>
    <row r="13" spans="1:8" ht="21" hidden="1" customHeight="1" thickBot="1" x14ac:dyDescent="0.35">
      <c r="A13" s="302"/>
      <c r="B13" s="243"/>
      <c r="C13" s="205"/>
      <c r="D13" s="205"/>
      <c r="E13" s="206"/>
      <c r="F13" s="244"/>
      <c r="G13" s="205"/>
    </row>
    <row r="14" spans="1:8" ht="21" customHeight="1" thickBot="1" x14ac:dyDescent="0.35">
      <c r="A14" s="449" t="s">
        <v>129</v>
      </c>
      <c r="B14" s="190" t="s">
        <v>130</v>
      </c>
      <c r="C14" s="182" t="s">
        <v>4</v>
      </c>
      <c r="D14" s="191" t="s">
        <v>6</v>
      </c>
      <c r="E14" s="192" t="s">
        <v>40</v>
      </c>
      <c r="F14" s="226" t="s">
        <v>41</v>
      </c>
      <c r="G14" s="192" t="s">
        <v>122</v>
      </c>
      <c r="H14" s="227" t="s">
        <v>123</v>
      </c>
    </row>
    <row r="15" spans="1:8" ht="24" customHeight="1" x14ac:dyDescent="0.3">
      <c r="A15" s="450"/>
      <c r="B15" s="217" t="s">
        <v>133</v>
      </c>
      <c r="C15" s="272" t="str">
        <f>VLOOKUP(B15,Tableau16[],8,FALSE)</f>
        <v>Endo</v>
      </c>
      <c r="D15" s="218">
        <f>VLOOKUP(B15,Tableau16[],14,FALSE)</f>
        <v>29.9</v>
      </c>
      <c r="E15" s="219">
        <v>0.1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132</v>
      </c>
      <c r="C16" s="221" t="str">
        <f>VLOOKUP(B16,Tableau16[],8,FALSE)</f>
        <v>Clem &amp; Co</v>
      </c>
      <c r="D16" s="218">
        <f>VLOOKUP(B16,Tableau16[],14,FALSE)</f>
        <v>29.9</v>
      </c>
      <c r="E16" s="219">
        <v>0.1</v>
      </c>
      <c r="F16" s="219">
        <v>0.14000000000000001</v>
      </c>
      <c r="G16" s="220" t="str">
        <f>VLOOKUP(B16,Tableau16[],10,FALSE)</f>
        <v>Fruité / Floral</v>
      </c>
      <c r="H16" s="218" t="str">
        <f>VLOOKUP(B16,Tableau16[],4,FALSE)</f>
        <v>Qc</v>
      </c>
    </row>
    <row r="17" spans="1:15" ht="24" customHeight="1" x14ac:dyDescent="0.3">
      <c r="A17" s="450"/>
      <c r="B17" s="217" t="s">
        <v>164</v>
      </c>
      <c r="C17" s="221" t="str">
        <f>VLOOKUP(B17,Tableau16[],8,FALSE)</f>
        <v>Charlebois</v>
      </c>
      <c r="D17" s="218">
        <f>VLOOKUP(B17,Tableau16[],14,FALSE)</f>
        <v>27.6</v>
      </c>
      <c r="E17" s="219">
        <v>0.09</v>
      </c>
      <c r="F17" s="219">
        <v>0.11</v>
      </c>
      <c r="G17" s="220" t="str">
        <f>VLOOKUP(B17,Tableau16[],10,FALSE)</f>
        <v>- / -</v>
      </c>
      <c r="H17" s="218" t="str">
        <f>VLOOKUP(B17,Tableau16[],4,FALSE)</f>
        <v>Qc</v>
      </c>
    </row>
    <row r="18" spans="1:15" ht="24" customHeight="1" x14ac:dyDescent="0.3">
      <c r="A18" s="450"/>
      <c r="B18" s="217" t="s">
        <v>134</v>
      </c>
      <c r="C18" s="221" t="str">
        <f>VLOOKUP(B18,Tableau16[],8,FALSE)</f>
        <v>Simply Bare</v>
      </c>
      <c r="D18" s="218">
        <f>VLOOKUP(B18,Tableau16[],14,FALSE)</f>
        <v>42.8</v>
      </c>
      <c r="E18" s="219">
        <v>0.09</v>
      </c>
      <c r="F18" s="219">
        <v>0.12</v>
      </c>
      <c r="G18" s="220" t="str">
        <f>VLOOKUP(B18,Tableau16[],10,FALSE)</f>
        <v>Terreux / Sucré</v>
      </c>
      <c r="H18" s="218" t="str">
        <f>VLOOKUP(B18,Tableau16[],4,FALSE)</f>
        <v>-</v>
      </c>
    </row>
    <row r="19" spans="1:15" ht="24" customHeight="1" x14ac:dyDescent="0.3">
      <c r="A19" s="450"/>
      <c r="B19" s="217" t="s">
        <v>135</v>
      </c>
      <c r="C19" s="221" t="str">
        <f>VLOOKUP(B19,Tableau16[],8,FALSE)</f>
        <v>Vert</v>
      </c>
      <c r="D19" s="218">
        <f>VLOOKUP(B19,Tableau16[],14,FALSE)</f>
        <v>30.6</v>
      </c>
      <c r="E19" s="219">
        <v>0.09</v>
      </c>
      <c r="F19" s="219">
        <v>0.13</v>
      </c>
      <c r="G19" s="220" t="str">
        <f>VLOOKUP(B19,Tableau16[],10,FALSE)</f>
        <v>Mouffette / Diesel</v>
      </c>
      <c r="H19" s="218" t="str">
        <f>VLOOKUP(B19,Tableau16[],4,FALSE)</f>
        <v>Qc</v>
      </c>
      <c r="O19" s="304"/>
    </row>
    <row r="20" spans="1:15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0.08</v>
      </c>
      <c r="F20" s="219">
        <v>0.08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15" ht="24" customHeight="1" x14ac:dyDescent="0.3">
      <c r="A21" s="450"/>
      <c r="B21" s="217" t="s">
        <v>141</v>
      </c>
      <c r="C21" s="221" t="str">
        <f>VLOOKUP(B21,Tableau16[],8,FALSE)</f>
        <v>Color Cannabis</v>
      </c>
      <c r="D21" s="218">
        <f>VLOOKUP(B21,Tableau16[],14,FALSE)</f>
        <v>29.7</v>
      </c>
      <c r="E21" s="219">
        <v>0.08</v>
      </c>
      <c r="F21" s="219">
        <v>0.09</v>
      </c>
      <c r="G21" s="220" t="str">
        <f>VLOOKUP(B21,Tableau16[],10,FALSE)</f>
        <v>Floral / Fruité</v>
      </c>
      <c r="H21" s="218" t="str">
        <f>VLOOKUP(B21,Tableau16[],4,FALSE)</f>
        <v>-</v>
      </c>
    </row>
    <row r="22" spans="1:15" ht="24" customHeight="1" x14ac:dyDescent="0.3">
      <c r="A22" s="450"/>
      <c r="B22" s="217" t="s">
        <v>138</v>
      </c>
      <c r="C22" s="221" t="str">
        <f>VLOOKUP(B22,Tableau16[],8,FALSE)</f>
        <v>Promenade</v>
      </c>
      <c r="D22" s="218">
        <f>VLOOKUP(B22,Tableau16[],14,FALSE)</f>
        <v>19.3</v>
      </c>
      <c r="E22" s="219">
        <v>0.08</v>
      </c>
      <c r="F22" s="219">
        <v>0.12</v>
      </c>
      <c r="G22" s="220" t="str">
        <f>VLOOKUP(B22,Tableau16[],10,FALSE)</f>
        <v>-</v>
      </c>
      <c r="H22" s="218" t="str">
        <f>VLOOKUP(B22,Tableau16[],4,FALSE)</f>
        <v>-</v>
      </c>
    </row>
    <row r="23" spans="1:15" ht="24" customHeight="1" x14ac:dyDescent="0.3">
      <c r="A23" s="450"/>
      <c r="B23" s="217" t="s">
        <v>165</v>
      </c>
      <c r="C23" s="221" t="str">
        <f>VLOOKUP(B23,Tableau16[],8,FALSE)</f>
        <v>Ostara</v>
      </c>
      <c r="D23" s="218">
        <f>VLOOKUP(B23,Tableau16[],14,FALSE)</f>
        <v>36</v>
      </c>
      <c r="E23" s="219">
        <v>0.08</v>
      </c>
      <c r="F23" s="219">
        <v>0.12</v>
      </c>
      <c r="G23" s="220" t="str">
        <f>VLOOKUP(B23,Tableau16[],10,FALSE)</f>
        <v>Mouffette / -</v>
      </c>
      <c r="H23" s="218" t="str">
        <f>VLOOKUP(B23,Tableau16[],4,FALSE)</f>
        <v>Qc</v>
      </c>
    </row>
    <row r="24" spans="1:15" ht="24" customHeight="1" x14ac:dyDescent="0.3">
      <c r="A24" s="450"/>
      <c r="B24" s="217" t="s">
        <v>139</v>
      </c>
      <c r="C24" s="273" t="str">
        <f>VLOOKUP(B24,Tableau16[],8,FALSE)</f>
        <v>Twd.</v>
      </c>
      <c r="D24" s="218">
        <f>VLOOKUP(B24,Tableau16[],14,FALSE)</f>
        <v>21.2</v>
      </c>
      <c r="E24" s="219">
        <v>7.0000000000000007E-2</v>
      </c>
      <c r="F24" s="219">
        <v>0.06</v>
      </c>
      <c r="G24" s="220" t="str">
        <f>VLOOKUP(B24,Tableau16[],10,FALSE)</f>
        <v>-</v>
      </c>
      <c r="H24" s="218" t="str">
        <f>VLOOKUP(B24,Tableau16[],4,FALSE)</f>
        <v>-</v>
      </c>
    </row>
    <row r="25" spans="1:15" ht="24" customHeight="1" x14ac:dyDescent="0.3">
      <c r="A25" s="450"/>
      <c r="B25" s="217" t="s">
        <v>137</v>
      </c>
      <c r="C25" s="221" t="str">
        <f>VLOOKUP(B25,Tableau16[],8,FALSE)</f>
        <v>Solei</v>
      </c>
      <c r="D25" s="218">
        <f>VLOOKUP(B25,Tableau16[],14,FALSE)</f>
        <v>22.1</v>
      </c>
      <c r="E25" s="219">
        <v>7.0000000000000007E-2</v>
      </c>
      <c r="F25" s="219">
        <v>0.09</v>
      </c>
      <c r="G25" s="220" t="str">
        <f>VLOOKUP(B25,Tableau16[],10,FALSE)</f>
        <v>Citronné / Épicé</v>
      </c>
      <c r="H25" s="218" t="str">
        <f>VLOOKUP(B25,Tableau16[],4,FALSE)</f>
        <v>-</v>
      </c>
    </row>
    <row r="26" spans="1:15" ht="24" customHeight="1" x14ac:dyDescent="0.3">
      <c r="A26" s="450"/>
      <c r="B26" s="217" t="s">
        <v>131</v>
      </c>
      <c r="C26" s="221" t="str">
        <f>VLOOKUP(B26,Tableau16[],8,FALSE)</f>
        <v>Orchid</v>
      </c>
      <c r="D26" s="218">
        <f>VLOOKUP(B26,Tableau16[],14,FALSE)</f>
        <v>25.6</v>
      </c>
      <c r="E26" s="219">
        <v>7.0000000000000007E-2</v>
      </c>
      <c r="F26" s="219">
        <v>0.1</v>
      </c>
      <c r="G26" s="220" t="str">
        <f>VLOOKUP(B26,Tableau16[],10,FALSE)</f>
        <v>Fruité / Sucré</v>
      </c>
      <c r="H26" s="218" t="str">
        <f>VLOOKUP(B26,Tableau16[],4,FALSE)</f>
        <v>Qc</v>
      </c>
    </row>
    <row r="27" spans="1:15" ht="24" customHeight="1" x14ac:dyDescent="0.3">
      <c r="A27" s="450"/>
      <c r="B27" s="217" t="s">
        <v>142</v>
      </c>
      <c r="C27" s="221" t="str">
        <f>VLOOKUP(B27,Tableau16[],8,FALSE)</f>
        <v>5 Points Cannabis</v>
      </c>
      <c r="D27" s="218">
        <f>VLOOKUP(B27,Tableau16[],14,FALSE)</f>
        <v>27.6</v>
      </c>
      <c r="E27" s="219">
        <v>7.0000000000000007E-2</v>
      </c>
      <c r="F27" s="219">
        <v>0.1</v>
      </c>
      <c r="G27" s="220" t="str">
        <f>VLOOKUP(B27,Tableau16[],10,FALSE)</f>
        <v>Fruité / Citronné</v>
      </c>
      <c r="H27" s="218" t="str">
        <f>VLOOKUP(B27,Tableau16[],4,FALSE)</f>
        <v>Qc</v>
      </c>
    </row>
    <row r="28" spans="1:15" ht="24" customHeight="1" x14ac:dyDescent="0.3">
      <c r="A28" s="450"/>
      <c r="B28" s="217" t="s">
        <v>140</v>
      </c>
      <c r="C28" s="221" t="str">
        <f>VLOOKUP(B28,Tableau16[],8,FALSE)</f>
        <v>Redecan</v>
      </c>
      <c r="D28" s="218">
        <f>VLOOKUP(B28,Tableau16[],14,FALSE)</f>
        <v>22.2</v>
      </c>
      <c r="E28" s="219">
        <v>7.0000000000000007E-2</v>
      </c>
      <c r="F28" s="219">
        <v>0.1</v>
      </c>
      <c r="G28" s="220" t="str">
        <f>VLOOKUP(B28,Tableau16[],10,FALSE)</f>
        <v>- / -</v>
      </c>
      <c r="H28" s="218" t="str">
        <f>VLOOKUP(B28,Tableau16[],4,FALSE)</f>
        <v>-</v>
      </c>
    </row>
    <row r="29" spans="1:15" ht="24" customHeight="1" x14ac:dyDescent="0.3">
      <c r="A29" s="450"/>
      <c r="B29" s="217" t="s">
        <v>143</v>
      </c>
      <c r="C29" s="221" t="str">
        <f>VLOOKUP(B29,Tableau16[],8,FALSE)</f>
        <v>Bud Lafleur</v>
      </c>
      <c r="D29" s="218">
        <f>VLOOKUP(B29,Tableau16[],14,FALSE)</f>
        <v>27</v>
      </c>
      <c r="E29" s="219">
        <v>0.04</v>
      </c>
      <c r="F29" s="219">
        <v>0.06</v>
      </c>
      <c r="G29" s="220" t="str">
        <f>VLOOKUP(B29,Tableau16[],10,FALSE)</f>
        <v>Fruité / Sucré</v>
      </c>
      <c r="H29" s="218" t="str">
        <f>VLOOKUP(B29,Tableau16[],4,FALSE)</f>
        <v>Qc</v>
      </c>
    </row>
    <row r="30" spans="1:15" ht="24" customHeight="1" x14ac:dyDescent="0.3">
      <c r="A30" s="450"/>
      <c r="B30" s="217" t="s">
        <v>149</v>
      </c>
      <c r="C30" s="221" t="str">
        <f>VLOOKUP(B30,Tableau16[],8,FALSE)</f>
        <v>Équilibre</v>
      </c>
      <c r="D30" s="218">
        <f>VLOOKUP(B30,Tableau16[],14,FALSE)</f>
        <v>22.3</v>
      </c>
      <c r="E30" s="219">
        <v>0</v>
      </c>
      <c r="F30" s="219">
        <v>0.11</v>
      </c>
      <c r="G30" s="220" t="str">
        <f>VLOOKUP(B30,Tableau16[],10,FALSE)</f>
        <v>-</v>
      </c>
      <c r="H30" s="218" t="str">
        <f>VLOOKUP(B30,Tableau16[],4,FALSE)</f>
        <v>Qc</v>
      </c>
    </row>
    <row r="31" spans="1:15" ht="24" customHeight="1" x14ac:dyDescent="0.3">
      <c r="A31" s="450"/>
      <c r="B31" s="217" t="s">
        <v>151</v>
      </c>
      <c r="C31" s="221" t="str">
        <f>VLOOKUP(B31,Tableau16[],8,FALSE)</f>
        <v>De La Ferme</v>
      </c>
      <c r="D31" s="218">
        <f>VLOOKUP(B31,Tableau16[],14,FALSE)</f>
        <v>17.3</v>
      </c>
      <c r="E31" s="219">
        <v>0</v>
      </c>
      <c r="F31" s="219">
        <v>0.12</v>
      </c>
      <c r="G31" s="220" t="str">
        <f>VLOOKUP(B31,Tableau16[],10,FALSE)</f>
        <v>Épicé / FLoral</v>
      </c>
      <c r="H31" s="218" t="str">
        <f>VLOOKUP(B31,Tableau16[],4,FALSE)</f>
        <v>Qc</v>
      </c>
    </row>
    <row r="32" spans="1:15" ht="24" customHeight="1" x14ac:dyDescent="0.3">
      <c r="A32" s="450"/>
      <c r="B32" s="217" t="s">
        <v>150</v>
      </c>
      <c r="C32" s="221" t="str">
        <f>VLOOKUP(B32,Tableau16[],8,FALSE)</f>
        <v>Lunaire</v>
      </c>
      <c r="D32" s="218">
        <f>VLOOKUP(B32,Tableau16[],14,FALSE)</f>
        <v>25.8</v>
      </c>
      <c r="E32" s="219">
        <v>0</v>
      </c>
      <c r="F32" s="219">
        <v>0.12</v>
      </c>
      <c r="G32" s="220" t="str">
        <f>VLOOKUP(B32,Tableau16[],10,FALSE)</f>
        <v>Floral / Fruité</v>
      </c>
      <c r="H32" s="218" t="str">
        <f>VLOOKUP(B32,Tableau16[],4,FALSE)</f>
        <v>Qc</v>
      </c>
    </row>
    <row r="33" spans="1:8" ht="24" customHeight="1" x14ac:dyDescent="0.3">
      <c r="A33" s="450"/>
      <c r="B33" s="217" t="s">
        <v>166</v>
      </c>
      <c r="C33" s="221" t="str">
        <f>VLOOKUP(B33,Tableau16[],8,FALSE)</f>
        <v>Redecan</v>
      </c>
      <c r="D33" s="218">
        <f>VLOOKUP(B33,Tableau16[],14,FALSE)</f>
        <v>22.2</v>
      </c>
      <c r="E33" s="219">
        <v>0</v>
      </c>
      <c r="F33" s="219">
        <v>0.15</v>
      </c>
      <c r="G33" s="220" t="str">
        <f>VLOOKUP(B33,Tableau16[],10,FALSE)</f>
        <v>- / -</v>
      </c>
      <c r="H33" s="218" t="str">
        <f>VLOOKUP(B33,Tableau16[],4,FALSE)</f>
        <v>-</v>
      </c>
    </row>
    <row r="34" spans="1:8" ht="24" customHeight="1" x14ac:dyDescent="0.3">
      <c r="A34" s="450"/>
      <c r="B34" s="217" t="s">
        <v>146</v>
      </c>
      <c r="C34" s="221" t="str">
        <f>VLOOKUP(B34,Tableau16[],8,FALSE)</f>
        <v>Cannabiomedic</v>
      </c>
      <c r="D34" s="218">
        <f>VLOOKUP(B34,Tableau16[],14,FALSE)</f>
        <v>27.6</v>
      </c>
      <c r="E34" s="219">
        <v>0</v>
      </c>
      <c r="F34" s="219">
        <v>0.15</v>
      </c>
      <c r="G34" s="220" t="str">
        <f>VLOOKUP(B34,Tableau16[],10,FALSE)</f>
        <v>-</v>
      </c>
      <c r="H34" s="218" t="str">
        <f>VLOOKUP(B34,Tableau16[],4,FALSE)</f>
        <v>Qc</v>
      </c>
    </row>
    <row r="35" spans="1:8" ht="24" customHeight="1" x14ac:dyDescent="0.3">
      <c r="A35" s="450"/>
      <c r="B35" s="217" t="s">
        <v>144</v>
      </c>
      <c r="C35" s="221" t="str">
        <f>VLOOKUP(B35,Tableau16[],8,FALSE)</f>
        <v>Promenade</v>
      </c>
      <c r="D35" s="279">
        <f>VLOOKUP(B35,Tableau16[],14,FALSE)</f>
        <v>21.4</v>
      </c>
      <c r="E35" s="219">
        <v>0</v>
      </c>
      <c r="F35" s="219">
        <v>0.16</v>
      </c>
      <c r="G35" s="220" t="str">
        <f>VLOOKUP(B35,Tableau16[],10,FALSE)</f>
        <v>Fruité / Floral</v>
      </c>
      <c r="H35" s="278" t="str">
        <f>VLOOKUP(B35,Tableau16[],4,FALSE)</f>
        <v>-</v>
      </c>
    </row>
    <row r="36" spans="1:8" ht="24" customHeight="1" x14ac:dyDescent="0.3">
      <c r="A36" s="450"/>
      <c r="B36" s="217" t="s">
        <v>145</v>
      </c>
      <c r="C36" s="221" t="str">
        <f>VLOOKUP(B36,Tableau16[],8,FALSE)</f>
        <v>Canna Farms</v>
      </c>
      <c r="D36" s="218">
        <f>VLOOKUP(B36,Tableau16[],14,FALSE)</f>
        <v>30.6</v>
      </c>
      <c r="E36" s="219">
        <v>0</v>
      </c>
      <c r="F36" s="219">
        <v>0.17</v>
      </c>
      <c r="G36" s="220" t="str">
        <f>VLOOKUP(B36,Tableau16[],10,FALSE)</f>
        <v>Fruité / Boisé</v>
      </c>
      <c r="H36" s="218" t="str">
        <f>VLOOKUP(B36,Tableau16[],4,FALSE)</f>
        <v>-</v>
      </c>
    </row>
    <row r="37" spans="1:8" ht="24" customHeight="1" x14ac:dyDescent="0.3">
      <c r="A37" s="450"/>
      <c r="B37" s="217" t="s">
        <v>147</v>
      </c>
      <c r="C37" s="221" t="str">
        <f>VLOOKUP(B37,Tableau16[],8,FALSE)</f>
        <v>XK</v>
      </c>
      <c r="D37" s="218">
        <f>VLOOKUP(B37,Tableau16[],14,FALSE)</f>
        <v>27</v>
      </c>
      <c r="E37" s="219">
        <v>0</v>
      </c>
      <c r="F37" s="219">
        <v>0.17</v>
      </c>
      <c r="G37" s="220" t="str">
        <f>VLOOKUP(B37,Tableau16[],10,FALSE)</f>
        <v>Terreux / Citronné</v>
      </c>
      <c r="H37" s="218" t="str">
        <f>VLOOKUP(B37,Tableau16[],4,FALSE)</f>
        <v>-</v>
      </c>
    </row>
    <row r="38" spans="1:8" ht="24" customHeight="1" thickBot="1" x14ac:dyDescent="0.35">
      <c r="A38" s="451"/>
      <c r="B38" s="217" t="s">
        <v>148</v>
      </c>
      <c r="C38" s="221" t="str">
        <f>VLOOKUP(B38,Tableau16[],8,FALSE)</f>
        <v>T'es Dans L'Champ</v>
      </c>
      <c r="D38" s="218">
        <f>VLOOKUP(B38,Tableau16[],14,FALSE)</f>
        <v>19.899999999999999</v>
      </c>
      <c r="E38" s="219">
        <v>0</v>
      </c>
      <c r="F38" s="219">
        <v>0.18</v>
      </c>
      <c r="G38" s="220" t="str">
        <f>VLOOKUP(B38,Tableau16[],10,FALSE)</f>
        <v>-</v>
      </c>
      <c r="H38" s="218" t="str">
        <f>VLOOKUP(B38,Tableau16[],4,FALSE)</f>
        <v>Qc</v>
      </c>
    </row>
    <row r="39" spans="1:8" ht="19.5" customHeight="1" x14ac:dyDescent="0.3">
      <c r="A39" s="302"/>
      <c r="B39" s="170"/>
      <c r="C39" s="169"/>
      <c r="D39" s="171"/>
      <c r="E39" s="172"/>
      <c r="F39" s="172"/>
      <c r="G39" s="169"/>
    </row>
    <row r="40" spans="1:8" ht="19.5" customHeight="1" x14ac:dyDescent="0.3">
      <c r="A40" s="169"/>
      <c r="B40" s="170"/>
      <c r="C40" s="169"/>
      <c r="D40" s="171"/>
      <c r="E40" s="172"/>
      <c r="F40" s="172"/>
      <c r="G40" s="169"/>
    </row>
    <row r="41" spans="1:8" ht="19.5" customHeight="1" x14ac:dyDescent="0.3">
      <c r="A41" s="169"/>
      <c r="B41" s="170"/>
      <c r="C41" s="169"/>
      <c r="D41" s="171"/>
      <c r="E41" s="172"/>
      <c r="F41" s="172"/>
      <c r="G41" s="169"/>
    </row>
    <row r="42" spans="1:8" ht="19.5" customHeight="1" x14ac:dyDescent="0.3">
      <c r="A42" s="169"/>
      <c r="B42" s="170"/>
      <c r="C42" s="169"/>
      <c r="D42" s="171"/>
      <c r="E42" s="172"/>
      <c r="F42" s="172"/>
      <c r="G42" s="169"/>
    </row>
    <row r="43" spans="1:8" ht="19.5" customHeight="1" x14ac:dyDescent="0.3">
      <c r="A43" s="169"/>
      <c r="B43" s="170"/>
      <c r="C43" s="169"/>
      <c r="D43" s="171"/>
      <c r="E43" s="172"/>
      <c r="F43" s="172"/>
      <c r="G43" s="169"/>
    </row>
    <row r="44" spans="1:8" ht="8.25" customHeight="1" x14ac:dyDescent="0.3">
      <c r="A44" s="4"/>
      <c r="B44" s="9"/>
      <c r="C44" s="173"/>
      <c r="D44" s="174"/>
      <c r="E44" s="184"/>
      <c r="F44" s="8"/>
      <c r="G44" s="8"/>
    </row>
    <row r="45" spans="1:8" ht="39" customHeight="1" x14ac:dyDescent="0.3">
      <c r="A45" s="61"/>
      <c r="B45" s="61"/>
      <c r="C45" s="61"/>
      <c r="D45" s="61"/>
      <c r="E45" s="61"/>
      <c r="F45" s="61"/>
      <c r="G45" s="61"/>
    </row>
    <row r="46" spans="1:8" ht="19.5" customHeight="1" x14ac:dyDescent="0.3">
      <c r="A46" s="175"/>
      <c r="B46" s="176"/>
      <c r="C46" s="176"/>
      <c r="D46" s="177"/>
      <c r="E46" s="11"/>
      <c r="F46" s="11"/>
      <c r="G46" s="177"/>
    </row>
    <row r="47" spans="1:8" ht="19.5" customHeight="1" x14ac:dyDescent="0.3">
      <c r="A47" s="169"/>
      <c r="B47" s="170"/>
      <c r="C47" s="170"/>
      <c r="D47" s="171"/>
      <c r="E47" s="179"/>
      <c r="F47" s="172"/>
      <c r="G47" s="169"/>
    </row>
    <row r="48" spans="1:8" ht="19.5" customHeight="1" x14ac:dyDescent="0.3">
      <c r="A48" s="169"/>
      <c r="B48" s="170"/>
      <c r="C48" s="169"/>
      <c r="D48" s="171"/>
      <c r="E48" s="179"/>
      <c r="F48" s="172"/>
      <c r="G48" s="169"/>
    </row>
    <row r="49" spans="1:7" ht="19.5" customHeight="1" x14ac:dyDescent="0.3">
      <c r="A49" s="169"/>
      <c r="B49" s="170"/>
      <c r="C49" s="170"/>
      <c r="D49" s="171"/>
      <c r="E49" s="179"/>
      <c r="F49" s="172"/>
      <c r="G49" s="169"/>
    </row>
    <row r="50" spans="1:7" ht="19.5" customHeight="1" x14ac:dyDescent="0.3">
      <c r="A50" s="169"/>
      <c r="B50" s="170"/>
      <c r="C50" s="170"/>
      <c r="D50" s="171"/>
      <c r="E50" s="179"/>
      <c r="F50" s="172"/>
      <c r="G50" s="169"/>
    </row>
    <row r="51" spans="1:7" x14ac:dyDescent="0.3">
      <c r="A51" s="169"/>
      <c r="B51" s="4"/>
      <c r="C51" s="4"/>
      <c r="D51" s="167"/>
      <c r="E51" s="185"/>
      <c r="F51" s="198"/>
      <c r="G51" s="4"/>
    </row>
    <row r="52" spans="1:7" ht="39.75" customHeight="1" x14ac:dyDescent="0.3">
      <c r="A52" s="61"/>
      <c r="B52" s="61"/>
      <c r="C52" s="61"/>
      <c r="D52" s="61"/>
      <c r="E52" s="61"/>
      <c r="F52" s="61"/>
      <c r="G52" s="61"/>
    </row>
    <row r="53" spans="1:7" ht="18.75" x14ac:dyDescent="0.3">
      <c r="A53" s="175"/>
      <c r="B53" s="176"/>
      <c r="C53" s="176"/>
      <c r="D53" s="178"/>
      <c r="E53" s="11"/>
      <c r="F53" s="11"/>
      <c r="G53" s="177"/>
    </row>
    <row r="54" spans="1:7" x14ac:dyDescent="0.3">
      <c r="A54" s="169"/>
      <c r="B54" s="170"/>
      <c r="C54" s="170"/>
      <c r="D54" s="171"/>
      <c r="E54" s="186"/>
      <c r="F54" s="186"/>
      <c r="G54" s="171"/>
    </row>
    <row r="55" spans="1:7" x14ac:dyDescent="0.3">
      <c r="A55" s="169"/>
      <c r="B55" s="170"/>
      <c r="C55" s="170"/>
      <c r="D55" s="180"/>
      <c r="E55" s="179"/>
      <c r="F55" s="172"/>
      <c r="G55" s="171"/>
    </row>
    <row r="56" spans="1:7" x14ac:dyDescent="0.3">
      <c r="A56" s="169"/>
      <c r="B56" s="170"/>
      <c r="C56" s="169"/>
      <c r="D56" s="171"/>
      <c r="E56" s="179"/>
      <c r="F56" s="172"/>
      <c r="G56" s="171"/>
    </row>
    <row r="57" spans="1:7" x14ac:dyDescent="0.3">
      <c r="A57" s="169"/>
      <c r="B57" s="170"/>
      <c r="C57" s="170"/>
      <c r="D57" s="171"/>
      <c r="E57" s="179"/>
      <c r="F57" s="172"/>
      <c r="G57" s="171"/>
    </row>
    <row r="58" spans="1:7" x14ac:dyDescent="0.3">
      <c r="A58" s="4"/>
      <c r="B58" s="4"/>
      <c r="C58" s="4"/>
      <c r="D58" s="167"/>
      <c r="E58" s="185"/>
      <c r="F58" s="198"/>
      <c r="G58" s="4"/>
    </row>
    <row r="59" spans="1:7" x14ac:dyDescent="0.3">
      <c r="A59" s="4"/>
      <c r="B59" s="4"/>
      <c r="C59" s="4"/>
      <c r="D59" s="167"/>
      <c r="E59" s="185"/>
      <c r="F59" s="198"/>
      <c r="G59" s="4"/>
    </row>
    <row r="60" spans="1:7" x14ac:dyDescent="0.3">
      <c r="A60" s="4"/>
      <c r="B60" s="4"/>
      <c r="C60" s="4"/>
      <c r="D60" s="167"/>
      <c r="E60" s="185"/>
      <c r="F60" s="198"/>
      <c r="G60" s="4"/>
    </row>
    <row r="61" spans="1:7" x14ac:dyDescent="0.3">
      <c r="A61" s="4"/>
      <c r="B61" s="4"/>
      <c r="C61" s="4"/>
      <c r="D61" s="167"/>
      <c r="E61" s="185"/>
      <c r="F61" s="198"/>
      <c r="G61" s="4"/>
    </row>
    <row r="62" spans="1:7" x14ac:dyDescent="0.3">
      <c r="A62" s="4"/>
      <c r="B62" s="4"/>
      <c r="C62" s="4"/>
      <c r="D62" s="167"/>
      <c r="E62" s="185"/>
      <c r="F62" s="198"/>
      <c r="G62" s="4"/>
    </row>
    <row r="63" spans="1:7" x14ac:dyDescent="0.3">
      <c r="A63" s="4"/>
      <c r="B63" s="4"/>
      <c r="C63" s="4"/>
      <c r="D63" s="167"/>
      <c r="E63" s="185"/>
      <c r="F63" s="198"/>
      <c r="G63" s="4"/>
    </row>
    <row r="64" spans="1:7" x14ac:dyDescent="0.3">
      <c r="A64" s="4"/>
      <c r="B64" s="4"/>
      <c r="C64" s="6"/>
      <c r="D64" s="166"/>
      <c r="E64" s="181"/>
      <c r="F64" s="181"/>
      <c r="G64" s="5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1"/>
    <mergeCell ref="A14:A38"/>
  </mergeCells>
  <conditionalFormatting sqref="C64:C1048576 C1">
    <cfRule type="cellIs" dxfId="10" priority="1" operator="equal">
      <formula>0</formula>
    </cfRule>
  </conditionalFormatting>
  <dataValidations count="2">
    <dataValidation type="list" allowBlank="1" showInputMessage="1" showErrorMessage="1" sqref="C48:C50 C54:C57" xr:uid="{98F204EE-FEBB-4204-983E-4D1F667BF146}">
      <formula1>#REF!</formula1>
    </dataValidation>
    <dataValidation type="list" allowBlank="1" showInputMessage="1" showErrorMessage="1" sqref="B1:C1" xr:uid="{02D6A557-C7B4-478A-B3CB-C18CF93F4D5A}">
      <formula1>hybride1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paperSize="5" scale="60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outon 2">
              <controlPr defaultSize="0" print="0" autoFill="0" autoPict="0" macro="[0]!tri_77053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1181100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imp_77052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80954F2-104F-4A51-AB2C-E257E1827CF9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B8F45C28-7A78-44BD-A2D3-1A0A7AD00B92}">
          <x14:formula1>
            <xm:f>'Base données formats'!$A$21:$A$69</xm:f>
          </x14:formula1>
          <xm:sqref>B15:B38</xm:sqref>
        </x14:dataValidation>
        <x14:dataValidation type="list" allowBlank="1" showInputMessage="1" showErrorMessage="1" xr:uid="{AF123D12-7746-4D2D-A0C3-7B5E72427871}">
          <x14:formula1>
            <xm:f>'Base données formats'!$A$4:$A$12</xm:f>
          </x14:formula1>
          <xm:sqref>B8:B13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2E138-70E9-4FDF-96B7-3102240DC7F9}">
  <sheetPr codeName="Feuil14">
    <pageSetUpPr fitToPage="1"/>
  </sheetPr>
  <dimension ref="A1:H54"/>
  <sheetViews>
    <sheetView showGridLines="0" zoomScale="70" zoomScaleNormal="70" workbookViewId="0">
      <selection activeCell="K13" sqref="K13"/>
    </sheetView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1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0.06</v>
      </c>
      <c r="F9" s="222">
        <v>0.08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1" customHeight="1" x14ac:dyDescent="0.3">
      <c r="A13" s="450"/>
      <c r="B13" s="217" t="s">
        <v>135</v>
      </c>
      <c r="C13" s="246" t="str">
        <f>VLOOKUP(B13,Tableau16[],8,FALSE)</f>
        <v>Vert</v>
      </c>
      <c r="D13" s="218">
        <f>VLOOKUP(B13,Tableau16[],14,FALSE)</f>
        <v>30.6</v>
      </c>
      <c r="E13" s="219">
        <v>0.1</v>
      </c>
      <c r="F13" s="219">
        <v>0.13</v>
      </c>
      <c r="G13" s="220" t="str">
        <f>VLOOKUP(B13,Tableau16[],10,FALSE)</f>
        <v>Mouffette / Diesel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132</v>
      </c>
      <c r="C14" s="221" t="str">
        <f>VLOOKUP(B14,Tableau16[],8,FALSE)</f>
        <v>Clem &amp; Co</v>
      </c>
      <c r="D14" s="218">
        <f>VLOOKUP(B14,Tableau16[],14,FALSE)</f>
        <v>29.9</v>
      </c>
      <c r="E14" s="219">
        <v>0.1</v>
      </c>
      <c r="F14" s="219">
        <v>0.16</v>
      </c>
      <c r="G14" s="220" t="str">
        <f>VLOOKUP(B14,Tableau16[],10,FALSE)</f>
        <v>Fruité / Floral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133</v>
      </c>
      <c r="C15" s="221" t="str">
        <f>VLOOKUP(B15,Tableau16[],8,FALSE)</f>
        <v>Endo</v>
      </c>
      <c r="D15" s="218">
        <f>VLOOKUP(B15,Tableau16[],14,FALSE)</f>
        <v>29.9</v>
      </c>
      <c r="E15" s="219">
        <v>0.09</v>
      </c>
      <c r="F15" s="219">
        <v>0.08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142</v>
      </c>
      <c r="C16" s="221" t="str">
        <f>VLOOKUP(B16,Tableau16[],8,FALSE)</f>
        <v>5 Points Cannabis</v>
      </c>
      <c r="D16" s="218">
        <f>VLOOKUP(B16,Tableau16[],14,FALSE)</f>
        <v>27.6</v>
      </c>
      <c r="E16" s="219">
        <v>0.06</v>
      </c>
      <c r="F16" s="219">
        <v>0.09</v>
      </c>
      <c r="G16" s="220" t="str">
        <f>VLOOKUP(B16,Tableau16[],10,FALSE)</f>
        <v>Fruité / Citronné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137</v>
      </c>
      <c r="C17" s="221" t="str">
        <f>VLOOKUP(B17,Tableau16[],8,FALSE)</f>
        <v>Solei</v>
      </c>
      <c r="D17" s="218">
        <f>VLOOKUP(B17,Tableau16[],14,FALSE)</f>
        <v>22.1</v>
      </c>
      <c r="E17" s="219">
        <v>0.08</v>
      </c>
      <c r="F17" s="219">
        <v>0.1</v>
      </c>
      <c r="G17" s="220" t="str">
        <f>VLOOKUP(B17,Tableau16[],10,FALSE)</f>
        <v>Citronné / Épicé</v>
      </c>
      <c r="H17" s="218" t="str">
        <f>VLOOKUP(B17,Tableau16[],4,FALSE)</f>
        <v>-</v>
      </c>
    </row>
    <row r="18" spans="1:8" ht="24" customHeight="1" x14ac:dyDescent="0.3">
      <c r="A18" s="450"/>
      <c r="B18" s="217" t="s">
        <v>131</v>
      </c>
      <c r="C18" s="221" t="str">
        <f>VLOOKUP(B18,Tableau16[],8,FALSE)</f>
        <v>Orchid</v>
      </c>
      <c r="D18" s="218">
        <f>VLOOKUP(B18,Tableau16[],14,FALSE)</f>
        <v>25.6</v>
      </c>
      <c r="E18" s="219">
        <v>0.08</v>
      </c>
      <c r="F18" s="219">
        <v>0.11</v>
      </c>
      <c r="G18" s="220" t="str">
        <f>VLOOKUP(B18,Tableau16[],10,FALSE)</f>
        <v>Fruité / Sucré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0.06</v>
      </c>
      <c r="F20" s="219">
        <v>0.06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153</v>
      </c>
      <c r="C21" s="221" t="str">
        <f>VLOOKUP(B21,Tableau16[],8,FALSE)</f>
        <v>Fuga</v>
      </c>
      <c r="D21" s="218">
        <f>VLOOKUP(B21,Tableau16[],14,FALSE)</f>
        <v>26</v>
      </c>
      <c r="E21" s="219">
        <v>0.06</v>
      </c>
      <c r="F21" s="219">
        <v>7.0000000000000007E-2</v>
      </c>
      <c r="G21" s="220" t="str">
        <f>VLOOKUP(B21,Tableau16[],10,FALSE)</f>
        <v>-</v>
      </c>
      <c r="H21" s="218" t="str">
        <f>VLOOKUP(B21,Tableau16[],4,FALSE)</f>
        <v>Qc</v>
      </c>
    </row>
    <row r="22" spans="1:8" ht="24" hidden="1" customHeight="1" x14ac:dyDescent="0.3">
      <c r="A22" s="450"/>
      <c r="B22" s="217" t="s">
        <v>140</v>
      </c>
      <c r="C22" s="221" t="str">
        <f>VLOOKUP(B22,Tableau16[],8,FALSE)</f>
        <v>Redecan</v>
      </c>
      <c r="D22" s="218">
        <f>VLOOKUP(B22,Tableau16[],14,FALSE)</f>
        <v>22.2</v>
      </c>
      <c r="E22" s="219">
        <v>0.06</v>
      </c>
      <c r="F22" s="219">
        <v>0.09</v>
      </c>
      <c r="G22" s="220" t="str">
        <f>VLOOKUP(B22,Tableau16[],10,FALSE)</f>
        <v>- / 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154</v>
      </c>
      <c r="C23" s="221" t="str">
        <f>VLOOKUP(B23,Tableau16[],8,FALSE)</f>
        <v>Canna Farms</v>
      </c>
      <c r="D23" s="218">
        <f>VLOOKUP(B23,Tableau16[],14,FALSE)</f>
        <v>30.6</v>
      </c>
      <c r="E23" s="219">
        <v>0.06</v>
      </c>
      <c r="F23" s="219">
        <v>0.1</v>
      </c>
      <c r="G23" s="220" t="str">
        <f>VLOOKUP(B23,Tableau16[],10,FALSE)</f>
        <v>Fruité / Boisé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155</v>
      </c>
      <c r="C24" s="221" t="str">
        <f>VLOOKUP(B24,Tableau16[],8,FALSE)</f>
        <v>Color Cannabis</v>
      </c>
      <c r="D24" s="218">
        <f>VLOOKUP(B24,Tableau16[],14,FALSE)</f>
        <v>29.7</v>
      </c>
      <c r="E24" s="219">
        <v>0</v>
      </c>
      <c r="F24" s="219">
        <v>0.08</v>
      </c>
      <c r="G24" s="220" t="str">
        <f>VLOOKUP(B24,Tableau16[],10,FALSE)</f>
        <v>Boisé / Épicé</v>
      </c>
      <c r="H24" s="218" t="str">
        <f>VLOOKUP(B24,Tableau16[],4,FALSE)</f>
        <v>-</v>
      </c>
    </row>
    <row r="25" spans="1:8" ht="24" customHeight="1" x14ac:dyDescent="0.3">
      <c r="A25" s="450"/>
      <c r="B25" s="217" t="s">
        <v>151</v>
      </c>
      <c r="C25" s="221" t="str">
        <f>VLOOKUP(B25,Tableau16[],8,FALSE)</f>
        <v>De La Ferme</v>
      </c>
      <c r="D25" s="218">
        <f>VLOOKUP(B25,Tableau16[],14,FALSE)</f>
        <v>17.3</v>
      </c>
      <c r="E25" s="219">
        <v>0</v>
      </c>
      <c r="F25" s="219">
        <v>0.12</v>
      </c>
      <c r="G25" s="220" t="str">
        <f>VLOOKUP(B25,Tableau16[],10,FALSE)</f>
        <v>Épicé / FLoral</v>
      </c>
      <c r="H25" s="218" t="str">
        <f>VLOOKUP(B25,Tableau16[],4,FALSE)</f>
        <v>Qc</v>
      </c>
    </row>
    <row r="26" spans="1:8" ht="24" customHeight="1" x14ac:dyDescent="0.3">
      <c r="A26" s="450"/>
      <c r="B26" s="217" t="s">
        <v>156</v>
      </c>
      <c r="C26" s="221" t="str">
        <f>VLOOKUP(B26,Tableau16[],8,FALSE)</f>
        <v>Vert</v>
      </c>
      <c r="D26" s="218">
        <f>VLOOKUP(B26,Tableau16[],14,FALSE)</f>
        <v>30.6</v>
      </c>
      <c r="E26" s="219">
        <v>0</v>
      </c>
      <c r="F26" s="219">
        <v>0.12</v>
      </c>
      <c r="G26" s="220" t="str">
        <f>VLOOKUP(B26,Tableau16[],10,FALSE)</f>
        <v>Boisé / Terreux</v>
      </c>
      <c r="H26" s="218" t="str">
        <f>VLOOKUP(B26,Tableau16[],4,FALSE)</f>
        <v>Qc</v>
      </c>
    </row>
    <row r="27" spans="1:8" ht="24" customHeight="1" thickBot="1" x14ac:dyDescent="0.35">
      <c r="A27" s="451"/>
      <c r="B27" s="256" t="s">
        <v>145</v>
      </c>
      <c r="C27" s="257" t="str">
        <f>VLOOKUP(B27,Tableau16[],8,FALSE)</f>
        <v>Canna Farms</v>
      </c>
      <c r="D27" s="258">
        <f>VLOOKUP(B27,Tableau16[],14,FALSE)</f>
        <v>30.6</v>
      </c>
      <c r="E27" s="259">
        <v>0</v>
      </c>
      <c r="F27" s="259">
        <v>0.17</v>
      </c>
      <c r="G27" s="260" t="str">
        <f>VLOOKUP(B27,Tableau16[],10,FALSE)</f>
        <v>Fruité / Boisé</v>
      </c>
      <c r="H27" s="258" t="str">
        <f>VLOOKUP(B27,Tableau16[],4,FALSE)</f>
        <v>-</v>
      </c>
    </row>
    <row r="28" spans="1:8" ht="9.75" customHeight="1" x14ac:dyDescent="0.3">
      <c r="A28" s="183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170"/>
      <c r="C32" s="169"/>
      <c r="D32" s="171"/>
      <c r="E32" s="172"/>
      <c r="F32" s="172"/>
      <c r="G32" s="169"/>
    </row>
    <row r="33" spans="1:7" ht="19.5" customHeight="1" x14ac:dyDescent="0.3">
      <c r="A33" s="169"/>
      <c r="B33" s="9"/>
      <c r="C33" s="173"/>
      <c r="D33" s="174"/>
      <c r="E33" s="184"/>
      <c r="F33" s="8"/>
      <c r="G33" s="8"/>
    </row>
    <row r="34" spans="1:7" ht="8.25" customHeight="1" x14ac:dyDescent="0.3">
      <c r="A34" s="4"/>
      <c r="B34" s="61"/>
      <c r="C34" s="61"/>
      <c r="D34" s="61"/>
      <c r="E34" s="61"/>
      <c r="F34" s="61"/>
      <c r="G34" s="61"/>
    </row>
    <row r="35" spans="1:7" ht="39" customHeight="1" x14ac:dyDescent="0.3">
      <c r="A35" s="61"/>
      <c r="B35" s="176"/>
      <c r="C35" s="176"/>
      <c r="D35" s="177"/>
      <c r="E35" s="11"/>
      <c r="F35" s="11"/>
      <c r="G35" s="177"/>
    </row>
    <row r="36" spans="1:7" ht="19.5" customHeight="1" x14ac:dyDescent="0.3">
      <c r="A36" s="175"/>
      <c r="B36" s="170"/>
      <c r="C36" s="170"/>
      <c r="D36" s="171"/>
      <c r="E36" s="179"/>
      <c r="F36" s="172"/>
      <c r="G36" s="169"/>
    </row>
    <row r="37" spans="1:7" ht="19.5" customHeight="1" x14ac:dyDescent="0.3">
      <c r="A37" s="169"/>
      <c r="B37" s="170"/>
      <c r="C37" s="169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170"/>
      <c r="C39" s="170"/>
      <c r="D39" s="171"/>
      <c r="E39" s="179"/>
      <c r="F39" s="172"/>
      <c r="G39" s="169"/>
    </row>
    <row r="40" spans="1:7" ht="19.5" customHeight="1" x14ac:dyDescent="0.3">
      <c r="A40" s="169"/>
      <c r="B40" s="4"/>
      <c r="C40" s="4"/>
      <c r="D40" s="167"/>
      <c r="E40" s="185"/>
      <c r="F40" s="198"/>
      <c r="G40" s="4"/>
    </row>
    <row r="41" spans="1:7" ht="33.75" x14ac:dyDescent="0.3">
      <c r="A41" s="169"/>
      <c r="B41" s="61"/>
      <c r="C41" s="61"/>
      <c r="D41" s="61"/>
      <c r="E41" s="61"/>
      <c r="F41" s="61"/>
      <c r="G41" s="61"/>
    </row>
    <row r="42" spans="1:7" ht="39.75" customHeight="1" x14ac:dyDescent="0.3">
      <c r="A42" s="61"/>
      <c r="B42" s="176"/>
      <c r="C42" s="176"/>
      <c r="D42" s="178"/>
      <c r="E42" s="11"/>
      <c r="F42" s="11"/>
      <c r="G42" s="177"/>
    </row>
    <row r="43" spans="1:7" x14ac:dyDescent="0.3">
      <c r="A43" s="175"/>
      <c r="B43" s="170"/>
      <c r="C43" s="170"/>
      <c r="D43" s="171"/>
      <c r="E43" s="186"/>
      <c r="F43" s="186"/>
      <c r="G43" s="171"/>
    </row>
    <row r="44" spans="1:7" x14ac:dyDescent="0.3">
      <c r="A44" s="169"/>
      <c r="B44" s="170"/>
      <c r="C44" s="170"/>
      <c r="D44" s="180"/>
      <c r="E44" s="179"/>
      <c r="F44" s="172"/>
      <c r="G44" s="171"/>
    </row>
    <row r="45" spans="1:7" x14ac:dyDescent="0.3">
      <c r="A45" s="169"/>
      <c r="B45" s="170"/>
      <c r="C45" s="169"/>
      <c r="D45" s="171"/>
      <c r="E45" s="179"/>
      <c r="F45" s="172"/>
      <c r="G45" s="171"/>
    </row>
    <row r="46" spans="1:7" x14ac:dyDescent="0.3">
      <c r="A46" s="169"/>
      <c r="B46" s="170"/>
      <c r="C46" s="170"/>
      <c r="D46" s="171"/>
      <c r="E46" s="179"/>
      <c r="F46" s="172"/>
      <c r="G46" s="171"/>
    </row>
    <row r="47" spans="1:7" x14ac:dyDescent="0.3">
      <c r="A47" s="169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4"/>
      <c r="D52" s="167"/>
      <c r="E52" s="185"/>
      <c r="F52" s="198"/>
      <c r="G52" s="4"/>
    </row>
    <row r="53" spans="1:7" x14ac:dyDescent="0.3">
      <c r="A53" s="4"/>
      <c r="B53" s="4"/>
      <c r="C53" s="6"/>
      <c r="D53" s="166"/>
      <c r="E53" s="181"/>
      <c r="F53" s="181"/>
      <c r="G53" s="5"/>
    </row>
    <row r="54" spans="1:7" x14ac:dyDescent="0.3">
      <c r="A5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7"/>
  </mergeCells>
  <conditionalFormatting sqref="C53:C1048576 C1">
    <cfRule type="cellIs" dxfId="9" priority="1" operator="equal">
      <formula>0</formula>
    </cfRule>
  </conditionalFormatting>
  <dataValidations count="2">
    <dataValidation type="list" allowBlank="1" showInputMessage="1" showErrorMessage="1" sqref="B1:C1" xr:uid="{FF790627-9F88-41D2-9A1F-0966EFFE5920}">
      <formula1>hybride1</formula1>
    </dataValidation>
    <dataValidation type="list" allowBlank="1" showInputMessage="1" showErrorMessage="1" sqref="C37:C39 C43:C46" xr:uid="{C6422741-41AB-4BC3-9A01-999902B80592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outon 2">
              <controlPr defaultSize="0" print="0" autoFill="0" autoPict="0" macro="[0]!tri_77056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imp_77056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28575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727E137-88A9-4206-8258-AB6D3E9AD602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0EAAFCC6-7AAF-461B-99A4-993D86F2BE3B}">
          <x14:formula1>
            <xm:f>'Base données formats'!$A$4:$A$12</xm:f>
          </x14:formula1>
          <xm:sqref>B8:B11</xm:sqref>
        </x14:dataValidation>
        <x14:dataValidation type="list" allowBlank="1" showInputMessage="1" showErrorMessage="1" xr:uid="{FA74EC8F-02CB-44B5-A9CA-72A4D05F38A0}">
          <x14:formula1>
            <xm:f>'Base données formats'!$A$21:$A$69</xm:f>
          </x14:formula1>
          <xm:sqref>B13:B27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EE2CE-E529-496A-B7D1-147338DA1B73}">
  <sheetPr codeName="Feuil15">
    <pageSetUpPr fitToPage="1"/>
  </sheetPr>
  <dimension ref="A1:H64"/>
  <sheetViews>
    <sheetView showGridLines="0" topLeftCell="A2" zoomScale="70" zoomScaleNormal="70" workbookViewId="0">
      <selection activeCell="A2" sqref="A2:H37"/>
    </sheetView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4.8554687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2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57" t="s">
        <v>152</v>
      </c>
      <c r="B2" s="458"/>
      <c r="C2" s="458"/>
      <c r="D2" s="458"/>
      <c r="E2" s="458"/>
      <c r="F2" s="458"/>
      <c r="G2" s="458"/>
      <c r="H2" s="459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0.04</v>
      </c>
      <c r="F4" s="231">
        <v>0.14000000000000001</v>
      </c>
      <c r="G4" s="229" t="str">
        <f>VLOOKUP(B4,Tableau15[],10,FALSE)</f>
        <v>Épicé / Fruité</v>
      </c>
      <c r="H4" s="275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x14ac:dyDescent="0.3">
      <c r="A8" s="447"/>
      <c r="B8" s="298" t="s">
        <v>126</v>
      </c>
      <c r="C8" s="289" t="str">
        <f>VLOOKUP(B8,Tableau14[],8,FALSE)</f>
        <v>Wio</v>
      </c>
      <c r="D8" s="300">
        <f>VLOOKUP(B8,Tableau14[],14,FALSE)</f>
        <v>33.9</v>
      </c>
      <c r="E8" s="299">
        <v>0.09</v>
      </c>
      <c r="F8" s="231">
        <v>0.13</v>
      </c>
      <c r="G8" s="301" t="str">
        <f>VLOOKUP(B8,Tableau14[],10,FALSE)</f>
        <v>Citronné / Sucré</v>
      </c>
      <c r="H8" s="277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97" t="str">
        <f>VLOOKUP(B9,Tableau14[],8,FALSE)</f>
        <v>Trailblazer</v>
      </c>
      <c r="D9" s="262">
        <f>VLOOKUP(B9,Tableau14[],14,FALSE)</f>
        <v>22.9</v>
      </c>
      <c r="E9" s="255">
        <v>0.04</v>
      </c>
      <c r="F9" s="222">
        <v>7.0000000000000007E-2</v>
      </c>
      <c r="G9" s="222" t="str">
        <f>VLOOKUP(B9,Tableau14[],10,FALSE)</f>
        <v>Fruité / Sucré</v>
      </c>
      <c r="H9" s="218" t="str">
        <f>VLOOKUP(B9,Tableau14[],4,FALSE)</f>
        <v>-</v>
      </c>
    </row>
    <row r="10" spans="1:8" ht="27" customHeight="1" x14ac:dyDescent="0.3">
      <c r="A10" s="447"/>
      <c r="B10" s="253" t="s">
        <v>157</v>
      </c>
      <c r="C10" s="218" t="str">
        <f>VLOOKUP(B10,Tableau14[],8,FALSE)</f>
        <v>Terroir</v>
      </c>
      <c r="D10" s="218">
        <f>VLOOKUP(B10,Tableau14[],14,FALSE)</f>
        <v>27.5</v>
      </c>
      <c r="E10" s="255">
        <v>0</v>
      </c>
      <c r="F10" s="222">
        <v>0.12</v>
      </c>
      <c r="G10" s="222" t="str">
        <f>VLOOKUP(B10,Tableau14[],10,FALSE)</f>
        <v>Épicé / Boisé</v>
      </c>
      <c r="H10" s="218" t="str">
        <f>VLOOKUP(B10,Tableau14[],4,FALSE)</f>
        <v>Qc</v>
      </c>
    </row>
    <row r="11" spans="1:8" ht="27" customHeight="1" thickBot="1" x14ac:dyDescent="0.35">
      <c r="A11" s="447"/>
      <c r="B11" s="247" t="s">
        <v>128</v>
      </c>
      <c r="C11" s="250" t="str">
        <f>VLOOKUP(B11,Tableau14[],8,FALSE)</f>
        <v>Solei</v>
      </c>
      <c r="D11" s="250">
        <f>VLOOKUP(B11,Tableau14[],14,FALSE)</f>
        <v>27</v>
      </c>
      <c r="E11" s="248">
        <v>0</v>
      </c>
      <c r="F11" s="249">
        <v>0.12</v>
      </c>
      <c r="G11" s="251" t="str">
        <f>VLOOKUP(B11,Tableau14[],10,FALSE)</f>
        <v>Mouffette / Épicé</v>
      </c>
      <c r="H11" s="250" t="str">
        <f>VLOOKUP(B11,Tableau14[],4,FALSE)</f>
        <v>-</v>
      </c>
    </row>
    <row r="12" spans="1:8" ht="13.5" customHeight="1" thickBot="1" x14ac:dyDescent="0.35">
      <c r="A12" s="245"/>
      <c r="B12" s="243"/>
      <c r="C12" s="205"/>
      <c r="D12" s="205"/>
      <c r="E12" s="206"/>
      <c r="F12" s="244"/>
      <c r="G12" s="205"/>
    </row>
    <row r="13" spans="1:8" ht="21" customHeight="1" thickBot="1" x14ac:dyDescent="0.35">
      <c r="A13" s="449" t="s">
        <v>129</v>
      </c>
      <c r="B13" s="190" t="s">
        <v>130</v>
      </c>
      <c r="C13" s="182" t="s">
        <v>4</v>
      </c>
      <c r="D13" s="191" t="s">
        <v>6</v>
      </c>
      <c r="E13" s="192" t="s">
        <v>40</v>
      </c>
      <c r="F13" s="226" t="s">
        <v>41</v>
      </c>
      <c r="G13" s="192" t="s">
        <v>122</v>
      </c>
      <c r="H13" s="227" t="s">
        <v>123</v>
      </c>
    </row>
    <row r="14" spans="1:8" ht="24" customHeight="1" x14ac:dyDescent="0.3">
      <c r="A14" s="450"/>
      <c r="B14" s="217" t="s">
        <v>131</v>
      </c>
      <c r="C14" s="221" t="str">
        <f>VLOOKUP(B14,Tableau16[],8,FALSE)</f>
        <v>Orchid</v>
      </c>
      <c r="D14" s="218">
        <f>VLOOKUP(B14,Tableau16[],14,FALSE)</f>
        <v>25.6</v>
      </c>
      <c r="E14" s="219">
        <v>0.11</v>
      </c>
      <c r="F14" s="219">
        <v>7.0000000000000007E-2</v>
      </c>
      <c r="G14" s="220" t="str">
        <f>VLOOKUP(B14,Tableau16[],10,FALSE)</f>
        <v>Fruité / Sucré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132</v>
      </c>
      <c r="C15" s="221" t="str">
        <f>VLOOKUP(B15,Tableau16[],8,FALSE)</f>
        <v>Clem &amp; Co</v>
      </c>
      <c r="D15" s="218">
        <f>VLOOKUP(B15,Tableau16[],14,FALSE)</f>
        <v>29.9</v>
      </c>
      <c r="E15" s="219">
        <v>0.08</v>
      </c>
      <c r="F15" s="219">
        <v>0.12</v>
      </c>
      <c r="G15" s="220" t="str">
        <f>VLOOKUP(B15,Tableau16[],10,FALSE)</f>
        <v>Fruité / Floral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135</v>
      </c>
      <c r="C16" s="273" t="str">
        <f>VLOOKUP(B16,Tableau16[],8,FALSE)</f>
        <v>Vert</v>
      </c>
      <c r="D16" s="218">
        <f>VLOOKUP(B16,Tableau16[],14,FALSE)</f>
        <v>30.6</v>
      </c>
      <c r="E16" s="219">
        <v>0.1</v>
      </c>
      <c r="F16" s="219">
        <v>0.13</v>
      </c>
      <c r="G16" s="220" t="str">
        <f>VLOOKUP(B16,Tableau16[],10,FALSE)</f>
        <v>Mouffette / Diesel</v>
      </c>
      <c r="H16" s="218" t="str">
        <f>VLOOKUP(B16,Tableau16[],4,FALSE)</f>
        <v>Qc</v>
      </c>
    </row>
    <row r="17" spans="1:8" ht="24" customHeight="1" x14ac:dyDescent="0.3">
      <c r="A17" s="450"/>
      <c r="B17" s="217" t="s">
        <v>158</v>
      </c>
      <c r="C17" s="221" t="str">
        <f>VLOOKUP(B17,Tableau16[],8,FALSE)</f>
        <v>Nordique Royale</v>
      </c>
      <c r="D17" s="218">
        <f>VLOOKUP(B17,Tableau16[],14,FALSE)</f>
        <v>29.9</v>
      </c>
      <c r="E17" s="219">
        <v>0.09</v>
      </c>
      <c r="F17" s="219">
        <v>0.14000000000000001</v>
      </c>
      <c r="G17" s="220" t="str">
        <f>VLOOKUP(B17,Tableau16[],10,FALSE)</f>
        <v>Fruité / Floral</v>
      </c>
      <c r="H17" s="218" t="str">
        <f>VLOOKUP(B17,Tableau16[],4,FALSE)</f>
        <v>Qc</v>
      </c>
    </row>
    <row r="18" spans="1:8" ht="24" customHeight="1" x14ac:dyDescent="0.3">
      <c r="A18" s="450"/>
      <c r="B18" s="217" t="s">
        <v>133</v>
      </c>
      <c r="C18" s="221" t="str">
        <f>VLOOKUP(B18,Tableau16[],8,FALSE)</f>
        <v>Endo</v>
      </c>
      <c r="D18" s="218">
        <f>VLOOKUP(B18,Tableau16[],14,FALSE)</f>
        <v>29.9</v>
      </c>
      <c r="E18" s="219">
        <v>0.08</v>
      </c>
      <c r="F18" s="219">
        <v>0.06</v>
      </c>
      <c r="G18" s="220" t="str">
        <f>VLOOKUP(B18,Tableau16[],10,FALSE)</f>
        <v>Fruité / Citronné</v>
      </c>
      <c r="H18" s="218" t="str">
        <f>VLOOKUP(B18,Tableau16[],4,FALSE)</f>
        <v>Qc</v>
      </c>
    </row>
    <row r="19" spans="1:8" ht="24" customHeight="1" x14ac:dyDescent="0.3">
      <c r="A19" s="450"/>
      <c r="B19" s="217" t="s">
        <v>141</v>
      </c>
      <c r="C19" s="221" t="str">
        <f>VLOOKUP(B19,Tableau16[],8,FALSE)</f>
        <v>Color Cannabis</v>
      </c>
      <c r="D19" s="218">
        <f>VLOOKUP(B19,Tableau16[],14,FALSE)</f>
        <v>29.7</v>
      </c>
      <c r="E19" s="219">
        <v>0.08</v>
      </c>
      <c r="F19" s="219">
        <v>0.13</v>
      </c>
      <c r="G19" s="220" t="str">
        <f>VLOOKUP(B19,Tableau16[],10,FALSE)</f>
        <v>Floral / Fruité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136</v>
      </c>
      <c r="C20" s="221" t="str">
        <f>VLOOKUP(B20,Tableau16[],8,FALSE)</f>
        <v>Promenade</v>
      </c>
      <c r="D20" s="218">
        <f>VLOOKUP(B20,Tableau16[],14,FALSE)</f>
        <v>21.4</v>
      </c>
      <c r="E20" s="219">
        <v>0.08</v>
      </c>
      <c r="F20" s="219">
        <v>0.08</v>
      </c>
      <c r="G20" s="220" t="str">
        <f>VLOOKUP(B20,Tableau16[],10,FALSE)</f>
        <v>Sucré / Terreux</v>
      </c>
      <c r="H20" s="218" t="str">
        <f>VLOOKUP(B20,Tableau16[],4,FALSE)</f>
        <v>-</v>
      </c>
    </row>
    <row r="21" spans="1:8" ht="24" customHeight="1" x14ac:dyDescent="0.3">
      <c r="A21" s="450"/>
      <c r="B21" s="217" t="s">
        <v>137</v>
      </c>
      <c r="C21" s="221" t="str">
        <f>VLOOKUP(B21,Tableau16[],8,FALSE)</f>
        <v>Solei</v>
      </c>
      <c r="D21" s="218">
        <f>VLOOKUP(B21,Tableau16[],14,FALSE)</f>
        <v>22.1</v>
      </c>
      <c r="E21" s="219">
        <v>0.08</v>
      </c>
      <c r="F21" s="219">
        <v>0.11</v>
      </c>
      <c r="G21" s="220" t="str">
        <f>VLOOKUP(B21,Tableau16[],10,FALSE)</f>
        <v>Citronné / Épicé</v>
      </c>
      <c r="H21" s="218" t="str">
        <f>VLOOKUP(B21,Tableau16[],4,FALSE)</f>
        <v>-</v>
      </c>
    </row>
    <row r="22" spans="1:8" ht="24" customHeight="1" x14ac:dyDescent="0.3">
      <c r="A22" s="450"/>
      <c r="B22" s="217" t="s">
        <v>138</v>
      </c>
      <c r="C22" s="221" t="str">
        <f>VLOOKUP(B22,Tableau16[],8,FALSE)</f>
        <v>Promenade</v>
      </c>
      <c r="D22" s="218">
        <f>VLOOKUP(B22,Tableau16[],14,FALSE)</f>
        <v>19.3</v>
      </c>
      <c r="E22" s="219">
        <v>0.08</v>
      </c>
      <c r="F22" s="219">
        <v>0.11</v>
      </c>
      <c r="G22" s="220" t="str">
        <f>VLOOKUP(B22,Tableau16[],10,FALSE)</f>
        <v>-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139</v>
      </c>
      <c r="C23" s="221" t="str">
        <f>VLOOKUP(B23,Tableau16[],8,FALSE)</f>
        <v>Twd.</v>
      </c>
      <c r="D23" s="218">
        <f>VLOOKUP(B23,Tableau16[],14,FALSE)</f>
        <v>21.2</v>
      </c>
      <c r="E23" s="219">
        <v>7.0000000000000007E-2</v>
      </c>
      <c r="F23" s="219">
        <v>0.06</v>
      </c>
      <c r="G23" s="220" t="str">
        <f>VLOOKUP(B23,Tableau16[],10,FALSE)</f>
        <v>-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159</v>
      </c>
      <c r="C24" s="221" t="str">
        <f>VLOOKUP(B24,Tableau16[],8,FALSE)</f>
        <v>Groupe SûrNaturel</v>
      </c>
      <c r="D24" s="218">
        <f>VLOOKUP(B24,Tableau16[],14,FALSE)</f>
        <v>25.1</v>
      </c>
      <c r="E24" s="219">
        <v>7.0000000000000007E-2</v>
      </c>
      <c r="F24" s="219">
        <v>0.08</v>
      </c>
      <c r="G24" s="220" t="str">
        <f>VLOOKUP(B24,Tableau16[],10,FALSE)</f>
        <v>Épicé / Floral</v>
      </c>
      <c r="H24" s="218" t="str">
        <f>VLOOKUP(B24,Tableau16[],4,FALSE)</f>
        <v>Qc</v>
      </c>
    </row>
    <row r="25" spans="1:8" ht="24" customHeight="1" x14ac:dyDescent="0.3">
      <c r="A25" s="450"/>
      <c r="B25" s="217" t="s">
        <v>140</v>
      </c>
      <c r="C25" s="221" t="str">
        <f>VLOOKUP(B25,Tableau16[],8,FALSE)</f>
        <v>Redecan</v>
      </c>
      <c r="D25" s="218">
        <f>VLOOKUP(B25,Tableau16[],14,FALSE)</f>
        <v>22.2</v>
      </c>
      <c r="E25" s="219">
        <v>7.0000000000000007E-2</v>
      </c>
      <c r="F25" s="219">
        <v>0.1</v>
      </c>
      <c r="G25" s="220" t="str">
        <f>VLOOKUP(B25,Tableau16[],10,FALSE)</f>
        <v>- / -</v>
      </c>
      <c r="H25" s="218" t="str">
        <f>VLOOKUP(B25,Tableau16[],4,FALSE)</f>
        <v>-</v>
      </c>
    </row>
    <row r="26" spans="1:8" ht="24" customHeight="1" x14ac:dyDescent="0.3">
      <c r="A26" s="450"/>
      <c r="B26" s="217" t="s">
        <v>143</v>
      </c>
      <c r="C26" s="221" t="str">
        <f>VLOOKUP(B26,Tableau16[],8,FALSE)</f>
        <v>Bud Lafleur</v>
      </c>
      <c r="D26" s="218">
        <f>VLOOKUP(B26,Tableau16[],14,FALSE)</f>
        <v>27</v>
      </c>
      <c r="E26" s="219">
        <v>0.06</v>
      </c>
      <c r="F26" s="219">
        <v>0.06</v>
      </c>
      <c r="G26" s="220" t="str">
        <f>VLOOKUP(B26,Tableau16[],10,FALSE)</f>
        <v>Fruité / Sucré</v>
      </c>
      <c r="H26" s="218" t="str">
        <f>VLOOKUP(B26,Tableau16[],4,FALSE)</f>
        <v>Qc</v>
      </c>
    </row>
    <row r="27" spans="1:8" ht="24" customHeight="1" x14ac:dyDescent="0.3">
      <c r="A27" s="450"/>
      <c r="B27" s="217" t="s">
        <v>142</v>
      </c>
      <c r="C27" s="221" t="str">
        <f>VLOOKUP(B27,Tableau16[],8,FALSE)</f>
        <v>5 Points Cannabis</v>
      </c>
      <c r="D27" s="218">
        <f>VLOOKUP(B27,Tableau16[],14,FALSE)</f>
        <v>27.6</v>
      </c>
      <c r="E27" s="219">
        <v>0.06</v>
      </c>
      <c r="F27" s="219">
        <v>0.08</v>
      </c>
      <c r="G27" s="220" t="str">
        <f>VLOOKUP(B27,Tableau16[],10,FALSE)</f>
        <v>Fruité / Citronné</v>
      </c>
      <c r="H27" s="218" t="str">
        <f>VLOOKUP(B27,Tableau16[],4,FALSE)</f>
        <v>Qc</v>
      </c>
    </row>
    <row r="28" spans="1:8" ht="23.25" customHeight="1" x14ac:dyDescent="0.3">
      <c r="A28" s="450"/>
      <c r="B28" s="217" t="s">
        <v>151</v>
      </c>
      <c r="C28" s="221" t="str">
        <f>VLOOKUP(B28,Tableau16[],8,FALSE)</f>
        <v>De La Ferme</v>
      </c>
      <c r="D28" s="218">
        <f>VLOOKUP(B28,Tableau16[],14,FALSE)</f>
        <v>17.3</v>
      </c>
      <c r="E28" s="219">
        <v>0</v>
      </c>
      <c r="F28" s="219">
        <v>0.1</v>
      </c>
      <c r="G28" s="220" t="str">
        <f>VLOOKUP(B28,Tableau16[],10,FALSE)</f>
        <v>Épicé / FLoral</v>
      </c>
      <c r="H28" s="218" t="str">
        <f>VLOOKUP(B28,Tableau16[],4,FALSE)</f>
        <v>Qc</v>
      </c>
    </row>
    <row r="29" spans="1:8" ht="24" customHeight="1" x14ac:dyDescent="0.3">
      <c r="A29" s="450"/>
      <c r="B29" s="217" t="s">
        <v>149</v>
      </c>
      <c r="C29" s="221" t="str">
        <f>VLOOKUP(B29,Tableau16[],8,FALSE)</f>
        <v>Équilibre</v>
      </c>
      <c r="D29" s="218">
        <f>VLOOKUP(B29,Tableau16[],14,FALSE)</f>
        <v>22.3</v>
      </c>
      <c r="E29" s="219">
        <v>0</v>
      </c>
      <c r="F29" s="219">
        <v>0.11</v>
      </c>
      <c r="G29" s="220" t="str">
        <f>VLOOKUP(B29,Tableau16[],10,FALSE)</f>
        <v>-</v>
      </c>
      <c r="H29" s="218" t="str">
        <f>VLOOKUP(B29,Tableau16[],4,FALSE)</f>
        <v>Qc</v>
      </c>
    </row>
    <row r="30" spans="1:8" ht="24" customHeight="1" x14ac:dyDescent="0.3">
      <c r="A30" s="450"/>
      <c r="B30" s="217" t="s">
        <v>146</v>
      </c>
      <c r="C30" s="221" t="str">
        <f>VLOOKUP(B30,Tableau16[],8,FALSE)</f>
        <v>Cannabiomedic</v>
      </c>
      <c r="D30" s="218">
        <f>VLOOKUP(B30,Tableau16[],14,FALSE)</f>
        <v>27.6</v>
      </c>
      <c r="E30" s="219">
        <v>0</v>
      </c>
      <c r="F30" s="219">
        <v>0.14000000000000001</v>
      </c>
      <c r="G30" s="220" t="str">
        <f>VLOOKUP(B30,Tableau16[],10,FALSE)</f>
        <v>-</v>
      </c>
      <c r="H30" s="218" t="str">
        <f>VLOOKUP(B30,Tableau16[],4,FALSE)</f>
        <v>Qc</v>
      </c>
    </row>
    <row r="31" spans="1:8" ht="24" customHeight="1" x14ac:dyDescent="0.3">
      <c r="A31" s="450"/>
      <c r="B31" s="217" t="s">
        <v>150</v>
      </c>
      <c r="C31" s="221" t="str">
        <f>VLOOKUP(B31,Tableau16[],8,FALSE)</f>
        <v>Lunaire</v>
      </c>
      <c r="D31" s="218">
        <f>VLOOKUP(B31,Tableau16[],14,FALSE)</f>
        <v>25.8</v>
      </c>
      <c r="E31" s="219">
        <v>0</v>
      </c>
      <c r="F31" s="219">
        <v>0.14000000000000001</v>
      </c>
      <c r="G31" s="220" t="str">
        <f>VLOOKUP(B31,Tableau16[],10,FALSE)</f>
        <v>Floral / Fruité</v>
      </c>
      <c r="H31" s="218" t="str">
        <f>VLOOKUP(B31,Tableau16[],4,FALSE)</f>
        <v>Qc</v>
      </c>
    </row>
    <row r="32" spans="1:8" ht="24" customHeight="1" x14ac:dyDescent="0.3">
      <c r="A32" s="450"/>
      <c r="B32" s="217" t="s">
        <v>144</v>
      </c>
      <c r="C32" s="221" t="str">
        <f>VLOOKUP(B32,Tableau16[],8,FALSE)</f>
        <v>Promenade</v>
      </c>
      <c r="D32" s="218">
        <f>VLOOKUP(B32,Tableau16[],14,FALSE)</f>
        <v>21.4</v>
      </c>
      <c r="E32" s="219">
        <v>0</v>
      </c>
      <c r="F32" s="219">
        <v>0.16</v>
      </c>
      <c r="G32" s="220" t="str">
        <f>VLOOKUP(B32,Tableau16[],10,FALSE)</f>
        <v>Fruité / Floral</v>
      </c>
      <c r="H32" s="218" t="str">
        <f>VLOOKUP(B32,Tableau16[],4,FALSE)</f>
        <v>-</v>
      </c>
    </row>
    <row r="33" spans="1:8" ht="24" customHeight="1" x14ac:dyDescent="0.3">
      <c r="A33" s="450"/>
      <c r="B33" s="217" t="s">
        <v>145</v>
      </c>
      <c r="C33" s="221" t="str">
        <f>VLOOKUP(B33,Tableau16[],8,FALSE)</f>
        <v>Canna Farms</v>
      </c>
      <c r="D33" s="218">
        <f>VLOOKUP(B33,Tableau16[],14,FALSE)</f>
        <v>30.6</v>
      </c>
      <c r="E33" s="219">
        <v>0</v>
      </c>
      <c r="F33" s="219">
        <v>0.17</v>
      </c>
      <c r="G33" s="220" t="str">
        <f>VLOOKUP(B33,Tableau16[],10,FALSE)</f>
        <v>Fruité / Boisé</v>
      </c>
      <c r="H33" s="218" t="str">
        <f>VLOOKUP(B33,Tableau16[],4,FALSE)</f>
        <v>-</v>
      </c>
    </row>
    <row r="34" spans="1:8" ht="24" customHeight="1" x14ac:dyDescent="0.3">
      <c r="A34" s="450"/>
      <c r="B34" s="217" t="s">
        <v>147</v>
      </c>
      <c r="C34" s="221" t="str">
        <f>VLOOKUP(B34,Tableau16[],8,FALSE)</f>
        <v>XK</v>
      </c>
      <c r="D34" s="218">
        <f>VLOOKUP(B34,Tableau16[],14,FALSE)</f>
        <v>27</v>
      </c>
      <c r="E34" s="219">
        <v>0</v>
      </c>
      <c r="F34" s="219">
        <v>0.17</v>
      </c>
      <c r="G34" s="220" t="str">
        <f>VLOOKUP(B34,Tableau16[],10,FALSE)</f>
        <v>Terreux / Citronné</v>
      </c>
      <c r="H34" s="218" t="str">
        <f>VLOOKUP(B34,Tableau16[],4,FALSE)</f>
        <v>-</v>
      </c>
    </row>
    <row r="35" spans="1:8" ht="24" customHeight="1" thickBot="1" x14ac:dyDescent="0.35">
      <c r="A35" s="451"/>
      <c r="B35" s="256" t="s">
        <v>148</v>
      </c>
      <c r="C35" s="257" t="str">
        <f>VLOOKUP(B35,Tableau16[],8,FALSE)</f>
        <v>T'es Dans L'Champ</v>
      </c>
      <c r="D35" s="258">
        <f>VLOOKUP(B35,Tableau16[],14,FALSE)</f>
        <v>19.899999999999999</v>
      </c>
      <c r="E35" s="259">
        <v>0</v>
      </c>
      <c r="F35" s="259">
        <v>0.17</v>
      </c>
      <c r="G35" s="260" t="str">
        <f>VLOOKUP(B35,Tableau16[],10,FALSE)</f>
        <v>-</v>
      </c>
      <c r="H35" s="258" t="str">
        <f>VLOOKUP(B35,Tableau16[],4,FALSE)</f>
        <v>Qc</v>
      </c>
    </row>
    <row r="36" spans="1:8" ht="24" customHeight="1" x14ac:dyDescent="0.3">
      <c r="A36" s="274"/>
      <c r="B36" s="170"/>
      <c r="C36" s="169"/>
      <c r="D36" s="171"/>
      <c r="E36" s="172"/>
      <c r="F36" s="172"/>
      <c r="G36" s="169"/>
    </row>
    <row r="37" spans="1:8" ht="24" customHeight="1" x14ac:dyDescent="0.3">
      <c r="A37" s="274"/>
      <c r="B37" s="170"/>
      <c r="C37" s="169"/>
      <c r="D37" s="171"/>
      <c r="E37" s="172"/>
      <c r="F37" s="172"/>
      <c r="G37" s="169"/>
    </row>
    <row r="38" spans="1:8" ht="9.75" customHeight="1" x14ac:dyDescent="0.3">
      <c r="A38" s="183"/>
      <c r="B38" s="170"/>
      <c r="C38" s="169"/>
      <c r="D38" s="171"/>
      <c r="E38" s="172"/>
      <c r="F38" s="172"/>
      <c r="G38" s="169"/>
    </row>
    <row r="39" spans="1:8" ht="19.5" customHeight="1" x14ac:dyDescent="0.3">
      <c r="A39" s="169"/>
      <c r="B39" s="170"/>
      <c r="C39" s="169"/>
      <c r="D39" s="171"/>
      <c r="E39" s="172"/>
      <c r="F39" s="172"/>
      <c r="G39" s="169"/>
    </row>
    <row r="40" spans="1:8" ht="19.5" customHeight="1" x14ac:dyDescent="0.3">
      <c r="A40" s="169"/>
      <c r="B40" s="170"/>
      <c r="C40" s="169"/>
      <c r="D40" s="171"/>
      <c r="E40" s="172"/>
      <c r="F40" s="172"/>
      <c r="G40" s="169"/>
    </row>
    <row r="41" spans="1:8" ht="19.5" customHeight="1" x14ac:dyDescent="0.3">
      <c r="A41" s="169"/>
      <c r="B41" s="9"/>
      <c r="C41" s="173"/>
      <c r="D41" s="174"/>
      <c r="E41" s="184"/>
      <c r="F41" s="8"/>
      <c r="G41" s="8"/>
    </row>
    <row r="42" spans="1:8" ht="19.5" customHeight="1" x14ac:dyDescent="0.3">
      <c r="A42" s="169"/>
      <c r="B42" s="61"/>
      <c r="C42" s="61"/>
      <c r="D42" s="61"/>
      <c r="E42" s="61"/>
      <c r="F42" s="61"/>
      <c r="G42" s="61"/>
    </row>
    <row r="43" spans="1:8" ht="19.5" customHeight="1" x14ac:dyDescent="0.3">
      <c r="A43" s="169"/>
      <c r="B43" s="176"/>
      <c r="C43" s="176"/>
      <c r="D43" s="177"/>
      <c r="E43" s="11"/>
      <c r="F43" s="11"/>
      <c r="G43" s="177"/>
    </row>
    <row r="44" spans="1:8" ht="8.25" customHeight="1" x14ac:dyDescent="0.3">
      <c r="A44" s="4"/>
      <c r="B44" s="170"/>
      <c r="C44" s="170"/>
      <c r="D44" s="171"/>
      <c r="E44" s="179"/>
      <c r="F44" s="172"/>
      <c r="G44" s="169"/>
    </row>
    <row r="45" spans="1:8" ht="39" customHeight="1" x14ac:dyDescent="0.3">
      <c r="A45" s="61"/>
      <c r="B45" s="170"/>
      <c r="C45" s="169"/>
      <c r="D45" s="171"/>
      <c r="E45" s="179"/>
      <c r="F45" s="172"/>
      <c r="G45" s="169"/>
    </row>
    <row r="46" spans="1:8" ht="19.5" customHeight="1" x14ac:dyDescent="0.3">
      <c r="A46" s="175"/>
      <c r="B46" s="170"/>
      <c r="C46" s="170"/>
      <c r="D46" s="171"/>
      <c r="E46" s="179"/>
      <c r="F46" s="172"/>
      <c r="G46" s="169"/>
    </row>
    <row r="47" spans="1:8" ht="19.5" customHeight="1" x14ac:dyDescent="0.3">
      <c r="A47" s="169"/>
      <c r="B47" s="170"/>
      <c r="C47" s="170"/>
      <c r="D47" s="171"/>
      <c r="E47" s="179"/>
      <c r="F47" s="172"/>
      <c r="G47" s="169"/>
    </row>
    <row r="48" spans="1:8" ht="19.5" customHeight="1" x14ac:dyDescent="0.3">
      <c r="A48" s="169"/>
      <c r="B48" s="4"/>
      <c r="C48" s="4"/>
      <c r="D48" s="167"/>
      <c r="E48" s="185"/>
      <c r="F48" s="198"/>
      <c r="G48" s="4"/>
    </row>
    <row r="49" spans="1:7" ht="19.5" customHeight="1" x14ac:dyDescent="0.3">
      <c r="A49" s="169"/>
      <c r="B49" s="61"/>
      <c r="C49" s="61"/>
      <c r="D49" s="61"/>
      <c r="E49" s="61"/>
      <c r="F49" s="61"/>
      <c r="G49" s="61"/>
    </row>
    <row r="50" spans="1:7" ht="19.5" customHeight="1" x14ac:dyDescent="0.3">
      <c r="A50" s="169"/>
      <c r="B50" s="176"/>
      <c r="C50" s="176"/>
      <c r="D50" s="178"/>
      <c r="E50" s="11"/>
      <c r="F50" s="11"/>
      <c r="G50" s="177"/>
    </row>
    <row r="51" spans="1:7" x14ac:dyDescent="0.3">
      <c r="A51" s="169"/>
      <c r="B51" s="170"/>
      <c r="C51" s="170"/>
      <c r="D51" s="171"/>
      <c r="E51" s="186"/>
      <c r="F51" s="186"/>
      <c r="G51" s="171"/>
    </row>
    <row r="52" spans="1:7" ht="39.75" customHeight="1" x14ac:dyDescent="0.3">
      <c r="A52" s="61"/>
      <c r="B52" s="170"/>
      <c r="C52" s="170"/>
      <c r="D52" s="180"/>
      <c r="E52" s="179"/>
      <c r="F52" s="172"/>
      <c r="G52" s="171"/>
    </row>
    <row r="53" spans="1:7" x14ac:dyDescent="0.3">
      <c r="A53" s="175"/>
      <c r="B53" s="170"/>
      <c r="C53" s="169"/>
      <c r="D53" s="171"/>
      <c r="E53" s="179"/>
      <c r="F53" s="172"/>
      <c r="G53" s="171"/>
    </row>
    <row r="54" spans="1:7" x14ac:dyDescent="0.3">
      <c r="A54" s="169"/>
      <c r="B54" s="170"/>
      <c r="C54" s="170"/>
      <c r="D54" s="171"/>
      <c r="E54" s="179"/>
      <c r="F54" s="172"/>
      <c r="G54" s="171"/>
    </row>
    <row r="55" spans="1:7" x14ac:dyDescent="0.3">
      <c r="A55" s="169"/>
      <c r="B55" s="4"/>
      <c r="C55" s="4"/>
      <c r="D55" s="167"/>
      <c r="E55" s="185"/>
      <c r="F55" s="198"/>
      <c r="G55" s="4"/>
    </row>
    <row r="56" spans="1:7" x14ac:dyDescent="0.3">
      <c r="A56" s="169"/>
      <c r="B56" s="4"/>
      <c r="C56" s="4"/>
      <c r="D56" s="167"/>
      <c r="E56" s="185"/>
      <c r="F56" s="198"/>
      <c r="G56" s="4"/>
    </row>
    <row r="57" spans="1:7" x14ac:dyDescent="0.3">
      <c r="A57" s="169"/>
      <c r="B57" s="4"/>
      <c r="C57" s="4"/>
      <c r="D57" s="167"/>
      <c r="E57" s="185"/>
      <c r="F57" s="198"/>
      <c r="G57" s="4"/>
    </row>
    <row r="58" spans="1:7" x14ac:dyDescent="0.3">
      <c r="A58" s="4"/>
      <c r="B58" s="4"/>
      <c r="C58" s="4"/>
      <c r="D58" s="167"/>
      <c r="E58" s="185"/>
      <c r="F58" s="198"/>
      <c r="G58" s="4"/>
    </row>
    <row r="59" spans="1:7" x14ac:dyDescent="0.3">
      <c r="A59" s="4"/>
      <c r="B59" s="4"/>
      <c r="C59" s="4"/>
      <c r="D59" s="167"/>
      <c r="E59" s="185"/>
      <c r="F59" s="198"/>
      <c r="G59" s="4"/>
    </row>
    <row r="60" spans="1:7" x14ac:dyDescent="0.3">
      <c r="A60" s="4"/>
      <c r="B60" s="4"/>
      <c r="C60" s="4"/>
      <c r="D60" s="167"/>
      <c r="E60" s="185"/>
      <c r="F60" s="198"/>
      <c r="G60" s="4"/>
    </row>
    <row r="61" spans="1:7" x14ac:dyDescent="0.3">
      <c r="A61" s="4"/>
      <c r="B61" s="4"/>
      <c r="C61" s="6"/>
      <c r="D61" s="166"/>
      <c r="E61" s="181"/>
      <c r="F61" s="181"/>
      <c r="G61" s="5"/>
    </row>
    <row r="62" spans="1:7" x14ac:dyDescent="0.3">
      <c r="A62" s="4"/>
    </row>
    <row r="63" spans="1:7" x14ac:dyDescent="0.3">
      <c r="A63" s="4"/>
    </row>
    <row r="64" spans="1:7" x14ac:dyDescent="0.3">
      <c r="A64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1"/>
    <mergeCell ref="A13:A35"/>
  </mergeCells>
  <conditionalFormatting sqref="C61:C1048576 C1">
    <cfRule type="cellIs" dxfId="8" priority="1" operator="equal">
      <formula>0</formula>
    </cfRule>
  </conditionalFormatting>
  <dataValidations count="2">
    <dataValidation type="list" allowBlank="1" showInputMessage="1" showErrorMessage="1" sqref="C45:C47 C51:C54" xr:uid="{7CB45AEB-0ED6-43E1-9648-16837C073A9E}">
      <formula1>#REF!</formula1>
    </dataValidation>
    <dataValidation type="list" allowBlank="1" showInputMessage="1" showErrorMessage="1" sqref="B1:C1" xr:uid="{D576752B-0985-4DB1-B666-24A4FD5FE319}">
      <formula1>hybride1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0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outon 2">
              <controlPr defaultSize="0" print="0" autoFill="0" autoPict="0" macro="[0]!tri_77074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imp_77074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0C8F531-C91D-47EA-BDBB-EB13A64D2240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8523435B-FC24-41B1-963F-C4EFEAD3BF52}">
          <x14:formula1>
            <xm:f>'Base données formats'!$A$4:$A$12</xm:f>
          </x14:formula1>
          <xm:sqref>B8:B12</xm:sqref>
        </x14:dataValidation>
        <x14:dataValidation type="list" allowBlank="1" showInputMessage="1" showErrorMessage="1" xr:uid="{143CF531-0B4C-459D-A818-06BDE4F3B474}">
          <x14:formula1>
            <xm:f>'Base données formats'!$A$21:$A$69</xm:f>
          </x14:formula1>
          <xm:sqref>B14:B35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584-09B6-4C32-A89B-7327B97D7B39}">
  <sheetPr codeName="Feuil16">
    <pageSetUpPr fitToPage="1"/>
  </sheetPr>
  <dimension ref="A1:H92"/>
  <sheetViews>
    <sheetView showGridLines="0" tabSelected="1" topLeftCell="A49" zoomScale="70" zoomScaleNormal="70" workbookViewId="0">
      <selection activeCell="O62" sqref="O62"/>
    </sheetView>
  </sheetViews>
  <sheetFormatPr baseColWidth="10" defaultColWidth="11.42578125" defaultRowHeight="17.25" x14ac:dyDescent="0.3"/>
  <cols>
    <col min="1" max="1" width="10.5703125" style="1" bestFit="1" customWidth="1"/>
    <col min="2" max="2" width="100.140625" style="1" bestFit="1" customWidth="1"/>
    <col min="3" max="3" width="45.7109375" style="3" bestFit="1" customWidth="1"/>
    <col min="4" max="4" width="21.7109375" style="168" bestFit="1" customWidth="1"/>
    <col min="5" max="5" width="17.42578125" style="187" bestFit="1" customWidth="1"/>
    <col min="6" max="6" width="17.85546875" style="187" bestFit="1" customWidth="1"/>
    <col min="7" max="7" width="42.42578125" style="2" bestFit="1" customWidth="1"/>
    <col min="8" max="8" width="31.42578125" style="1" bestFit="1" customWidth="1"/>
    <col min="9" max="16384" width="11.42578125" style="1"/>
  </cols>
  <sheetData>
    <row r="1" spans="1:7" ht="8.25" hidden="1" customHeight="1" x14ac:dyDescent="0.3">
      <c r="A1" s="12"/>
      <c r="B1" s="213"/>
      <c r="C1" s="214"/>
      <c r="D1" s="215"/>
      <c r="E1" s="216"/>
      <c r="F1" s="11"/>
      <c r="G1" s="11"/>
    </row>
    <row r="2" spans="1:7" ht="8.25" hidden="1" customHeight="1" x14ac:dyDescent="0.3">
      <c r="A2" s="12"/>
      <c r="B2" s="213"/>
      <c r="C2" s="214"/>
      <c r="D2" s="215"/>
      <c r="E2" s="216"/>
      <c r="F2" s="11"/>
      <c r="G2" s="11"/>
    </row>
    <row r="3" spans="1:7" ht="8.25" hidden="1" customHeight="1" x14ac:dyDescent="0.3">
      <c r="A3" s="12"/>
      <c r="B3" s="213"/>
      <c r="C3" s="214"/>
      <c r="D3" s="215"/>
      <c r="E3" s="216"/>
      <c r="F3" s="11"/>
      <c r="G3" s="11"/>
    </row>
    <row r="4" spans="1:7" ht="8.25" hidden="1" customHeight="1" x14ac:dyDescent="0.3">
      <c r="A4" s="12"/>
      <c r="B4" s="213"/>
      <c r="C4" s="214"/>
      <c r="D4" s="215"/>
      <c r="E4" s="216"/>
      <c r="F4" s="11"/>
      <c r="G4" s="11"/>
    </row>
    <row r="5" spans="1:7" ht="8.25" hidden="1" customHeight="1" x14ac:dyDescent="0.3">
      <c r="A5" s="12"/>
      <c r="B5" s="213"/>
      <c r="C5" s="214"/>
      <c r="D5" s="215"/>
      <c r="E5" s="216"/>
      <c r="F5" s="11"/>
      <c r="G5" s="11"/>
    </row>
    <row r="6" spans="1:7" ht="8.25" hidden="1" customHeight="1" x14ac:dyDescent="0.3">
      <c r="A6" s="12"/>
      <c r="B6" s="213"/>
      <c r="C6" s="214"/>
      <c r="D6" s="215"/>
      <c r="E6" s="216"/>
      <c r="F6" s="11"/>
      <c r="G6" s="11"/>
    </row>
    <row r="7" spans="1:7" ht="8.25" hidden="1" customHeight="1" x14ac:dyDescent="0.3">
      <c r="A7" s="12"/>
      <c r="B7" s="213"/>
      <c r="C7" s="214"/>
      <c r="D7" s="215"/>
      <c r="E7" s="216"/>
      <c r="F7" s="11"/>
      <c r="G7" s="11"/>
    </row>
    <row r="8" spans="1:7" ht="8.25" hidden="1" customHeight="1" x14ac:dyDescent="0.3">
      <c r="A8" s="12"/>
      <c r="B8" s="213"/>
      <c r="C8" s="214"/>
      <c r="D8" s="215"/>
      <c r="E8" s="216"/>
      <c r="F8" s="11"/>
      <c r="G8" s="11"/>
    </row>
    <row r="9" spans="1:7" ht="8.25" hidden="1" customHeight="1" x14ac:dyDescent="0.3">
      <c r="A9" s="12"/>
      <c r="B9" s="213"/>
      <c r="C9" s="214"/>
      <c r="D9" s="215"/>
      <c r="E9" s="216"/>
      <c r="F9" s="11"/>
      <c r="G9" s="11"/>
    </row>
    <row r="10" spans="1:7" ht="8.25" hidden="1" customHeight="1" x14ac:dyDescent="0.3">
      <c r="A10" s="12"/>
      <c r="B10" s="213"/>
      <c r="C10" s="214"/>
      <c r="D10" s="215"/>
      <c r="E10" s="216"/>
      <c r="F10" s="11"/>
      <c r="G10" s="11"/>
    </row>
    <row r="11" spans="1:7" ht="8.25" hidden="1" customHeight="1" x14ac:dyDescent="0.3">
      <c r="A11" s="12"/>
      <c r="B11" s="213"/>
      <c r="C11" s="214"/>
      <c r="D11" s="215"/>
      <c r="E11" s="216"/>
      <c r="F11" s="11"/>
      <c r="G11" s="11"/>
    </row>
    <row r="12" spans="1:7" ht="8.25" hidden="1" customHeight="1" x14ac:dyDescent="0.3">
      <c r="A12" s="12"/>
      <c r="B12" s="213"/>
      <c r="C12" s="214"/>
      <c r="D12" s="215"/>
      <c r="E12" s="216"/>
      <c r="F12" s="11"/>
      <c r="G12" s="11"/>
    </row>
    <row r="13" spans="1:7" ht="8.25" hidden="1" customHeight="1" x14ac:dyDescent="0.3">
      <c r="A13" s="12"/>
      <c r="B13" s="213"/>
      <c r="C13" s="214"/>
      <c r="D13" s="215"/>
      <c r="E13" s="216"/>
      <c r="F13" s="11"/>
      <c r="G13" s="11"/>
    </row>
    <row r="14" spans="1:7" ht="8.25" hidden="1" customHeight="1" x14ac:dyDescent="0.3">
      <c r="A14" s="12"/>
      <c r="B14" s="213"/>
      <c r="C14" s="214"/>
      <c r="D14" s="215"/>
      <c r="E14" s="216"/>
      <c r="F14" s="11"/>
      <c r="G14" s="11"/>
    </row>
    <row r="15" spans="1:7" ht="8.25" hidden="1" customHeight="1" x14ac:dyDescent="0.3">
      <c r="A15" s="12"/>
      <c r="B15" s="213"/>
      <c r="C15" s="214"/>
      <c r="D15" s="215"/>
      <c r="E15" s="216"/>
      <c r="F15" s="11"/>
      <c r="G15" s="11"/>
    </row>
    <row r="16" spans="1:7" ht="8.25" hidden="1" customHeight="1" x14ac:dyDescent="0.3">
      <c r="A16" s="12"/>
      <c r="B16" s="213"/>
      <c r="C16" s="214"/>
      <c r="D16" s="215"/>
      <c r="E16" s="216"/>
      <c r="F16" s="11"/>
      <c r="G16" s="11"/>
    </row>
    <row r="17" spans="1:7" ht="8.25" hidden="1" customHeight="1" x14ac:dyDescent="0.3">
      <c r="A17" s="12"/>
      <c r="B17" s="213"/>
      <c r="C17" s="214"/>
      <c r="D17" s="215"/>
      <c r="E17" s="216"/>
      <c r="F17" s="11"/>
      <c r="G17" s="11"/>
    </row>
    <row r="18" spans="1:7" ht="8.25" hidden="1" customHeight="1" x14ac:dyDescent="0.3">
      <c r="A18" s="12"/>
      <c r="B18" s="213"/>
      <c r="C18" s="214"/>
      <c r="D18" s="215"/>
      <c r="E18" s="216"/>
      <c r="F18" s="11"/>
      <c r="G18" s="11"/>
    </row>
    <row r="19" spans="1:7" ht="8.25" hidden="1" customHeight="1" x14ac:dyDescent="0.3">
      <c r="A19" s="12"/>
      <c r="B19" s="213"/>
      <c r="C19" s="214"/>
      <c r="D19" s="215"/>
      <c r="E19" s="216"/>
      <c r="F19" s="11"/>
      <c r="G19" s="11"/>
    </row>
    <row r="20" spans="1:7" ht="8.25" hidden="1" customHeight="1" x14ac:dyDescent="0.3">
      <c r="A20" s="12"/>
      <c r="B20" s="213"/>
      <c r="C20" s="214"/>
      <c r="D20" s="215"/>
      <c r="E20" s="216"/>
      <c r="F20" s="11"/>
      <c r="G20" s="11"/>
    </row>
    <row r="21" spans="1:7" ht="8.25" hidden="1" customHeight="1" x14ac:dyDescent="0.3">
      <c r="A21" s="12"/>
      <c r="B21" s="213"/>
      <c r="C21" s="214"/>
      <c r="D21" s="215"/>
      <c r="E21" s="216"/>
      <c r="F21" s="11"/>
      <c r="G21" s="11"/>
    </row>
    <row r="22" spans="1:7" ht="8.25" hidden="1" customHeight="1" x14ac:dyDescent="0.3">
      <c r="A22" s="12"/>
      <c r="B22" s="213"/>
      <c r="C22" s="214"/>
      <c r="D22" s="215"/>
      <c r="E22" s="216"/>
      <c r="F22" s="11"/>
      <c r="G22" s="11"/>
    </row>
    <row r="23" spans="1:7" ht="8.25" hidden="1" customHeight="1" x14ac:dyDescent="0.3">
      <c r="A23" s="12"/>
      <c r="B23" s="213"/>
      <c r="C23" s="214"/>
      <c r="D23" s="215"/>
      <c r="E23" s="216"/>
      <c r="F23" s="11"/>
      <c r="G23" s="11"/>
    </row>
    <row r="24" spans="1:7" ht="8.25" hidden="1" customHeight="1" x14ac:dyDescent="0.3">
      <c r="A24" s="12"/>
      <c r="B24" s="213"/>
      <c r="C24" s="214"/>
      <c r="D24" s="215"/>
      <c r="E24" s="216"/>
      <c r="F24" s="11"/>
      <c r="G24" s="11"/>
    </row>
    <row r="25" spans="1:7" ht="8.25" hidden="1" customHeight="1" x14ac:dyDescent="0.3">
      <c r="A25" s="12"/>
      <c r="B25" s="213"/>
      <c r="C25" s="214"/>
      <c r="D25" s="215"/>
      <c r="E25" s="216"/>
      <c r="F25" s="11"/>
      <c r="G25" s="11"/>
    </row>
    <row r="26" spans="1:7" ht="8.25" hidden="1" customHeight="1" x14ac:dyDescent="0.3">
      <c r="A26" s="12"/>
      <c r="B26" s="213"/>
      <c r="C26" s="214"/>
      <c r="D26" s="215"/>
      <c r="E26" s="216"/>
      <c r="F26" s="11"/>
      <c r="G26" s="11"/>
    </row>
    <row r="27" spans="1:7" ht="8.25" hidden="1" customHeight="1" x14ac:dyDescent="0.3">
      <c r="A27" s="12"/>
      <c r="B27" s="213"/>
      <c r="C27" s="214"/>
      <c r="D27" s="215"/>
      <c r="E27" s="216"/>
      <c r="F27" s="11"/>
      <c r="G27" s="11"/>
    </row>
    <row r="28" spans="1:7" ht="8.25" hidden="1" customHeight="1" x14ac:dyDescent="0.3">
      <c r="A28" s="12"/>
      <c r="B28" s="213"/>
      <c r="C28" s="214"/>
      <c r="D28" s="215"/>
      <c r="E28" s="216"/>
      <c r="F28" s="11"/>
      <c r="G28" s="11"/>
    </row>
    <row r="29" spans="1:7" ht="8.25" hidden="1" customHeight="1" x14ac:dyDescent="0.3">
      <c r="A29" s="12"/>
      <c r="B29" s="213"/>
      <c r="C29" s="214"/>
      <c r="D29" s="215"/>
      <c r="E29" s="216"/>
      <c r="F29" s="11"/>
      <c r="G29" s="11"/>
    </row>
    <row r="30" spans="1:7" ht="8.25" hidden="1" customHeight="1" x14ac:dyDescent="0.3">
      <c r="A30" s="12"/>
      <c r="B30" s="213"/>
      <c r="C30" s="214"/>
      <c r="D30" s="215"/>
      <c r="E30" s="216"/>
      <c r="F30" s="11"/>
      <c r="G30" s="11"/>
    </row>
    <row r="31" spans="1:7" ht="8.25" customHeight="1" x14ac:dyDescent="0.3">
      <c r="A31" s="12"/>
      <c r="B31" s="213"/>
      <c r="C31" s="214"/>
      <c r="D31" s="215"/>
      <c r="E31" s="216"/>
      <c r="F31" s="11"/>
      <c r="G31" s="11"/>
    </row>
    <row r="32" spans="1:7" ht="3.75" customHeight="1" x14ac:dyDescent="0.3">
      <c r="A32" s="12"/>
      <c r="B32" s="213"/>
      <c r="C32" s="214"/>
      <c r="D32" s="215"/>
      <c r="E32" s="216"/>
      <c r="F32" s="11"/>
      <c r="G32" s="11"/>
    </row>
    <row r="33" spans="1:8" ht="8.25" customHeight="1" thickBot="1" x14ac:dyDescent="0.35">
      <c r="A33" s="12"/>
      <c r="B33" s="213"/>
      <c r="C33" s="214"/>
      <c r="D33" s="215"/>
      <c r="E33" s="216"/>
      <c r="F33" s="11"/>
      <c r="G33" s="11"/>
    </row>
    <row r="34" spans="1:8" ht="35.1" customHeight="1" thickBot="1" x14ac:dyDescent="0.35">
      <c r="A34" s="460" t="s">
        <v>152</v>
      </c>
      <c r="B34" s="461"/>
      <c r="C34" s="461"/>
      <c r="D34" s="461"/>
      <c r="E34" s="461"/>
      <c r="F34" s="461"/>
      <c r="G34" s="461"/>
      <c r="H34" s="462"/>
    </row>
    <row r="35" spans="1:8" ht="35.1" customHeight="1" thickBot="1" x14ac:dyDescent="0.35">
      <c r="A35" s="463" t="s">
        <v>121</v>
      </c>
      <c r="B35" s="347" t="s">
        <v>3</v>
      </c>
      <c r="C35" s="348" t="s">
        <v>4</v>
      </c>
      <c r="D35" s="349" t="s">
        <v>6</v>
      </c>
      <c r="E35" s="350" t="s">
        <v>40</v>
      </c>
      <c r="F35" s="351" t="s">
        <v>41</v>
      </c>
      <c r="G35" s="351" t="s">
        <v>122</v>
      </c>
      <c r="H35" s="352" t="s">
        <v>123</v>
      </c>
    </row>
    <row r="36" spans="1:8" ht="35.1" customHeight="1" x14ac:dyDescent="0.3">
      <c r="A36" s="464"/>
      <c r="B36" s="353" t="s">
        <v>87</v>
      </c>
      <c r="C36" s="354" t="str">
        <f>VLOOKUP(B36,Tableau15[],8,FALSE)</f>
        <v>-</v>
      </c>
      <c r="D36" s="355">
        <f>VLOOKUP(B36,Tableau15[],14,FALSE)</f>
        <v>0</v>
      </c>
      <c r="E36" s="356" t="s">
        <v>87</v>
      </c>
      <c r="F36" s="357" t="s">
        <v>87</v>
      </c>
      <c r="G36" s="358" t="str">
        <f>VLOOKUP(B36,Tableau15[],10,FALSE)</f>
        <v>-</v>
      </c>
      <c r="H36" s="359" t="str">
        <f>VLOOKUP(B36,Tableau15[],4,FALSE)</f>
        <v>-</v>
      </c>
    </row>
    <row r="37" spans="1:8" ht="35.1" customHeight="1" thickBot="1" x14ac:dyDescent="0.35">
      <c r="A37" s="464"/>
      <c r="B37" s="353" t="s">
        <v>124</v>
      </c>
      <c r="C37" s="354" t="str">
        <f>VLOOKUP(B37,Tableau15[],8,FALSE)</f>
        <v>Vert</v>
      </c>
      <c r="D37" s="355">
        <f>VLOOKUP(B37,Tableau15[],14,FALSE)</f>
        <v>27</v>
      </c>
      <c r="E37" s="360">
        <v>0.04</v>
      </c>
      <c r="F37" s="361">
        <v>0.14000000000000001</v>
      </c>
      <c r="G37" s="358" t="str">
        <f>VLOOKUP(B37,Tableau15[],10,FALSE)</f>
        <v>Épicé / Fruité</v>
      </c>
      <c r="H37" s="362" t="str">
        <f>VLOOKUP(B37,Tableau15[],4,FALSE)</f>
        <v>Qc</v>
      </c>
    </row>
    <row r="38" spans="1:8" ht="35.1" customHeight="1" thickBot="1" x14ac:dyDescent="0.55000000000000004">
      <c r="A38" s="363"/>
      <c r="B38" s="364"/>
      <c r="C38" s="365"/>
      <c r="D38" s="366"/>
      <c r="E38" s="367"/>
      <c r="F38" s="367"/>
      <c r="G38" s="368"/>
      <c r="H38" s="369"/>
    </row>
    <row r="39" spans="1:8" ht="35.1" customHeight="1" thickBot="1" x14ac:dyDescent="0.35">
      <c r="A39" s="463" t="s">
        <v>125</v>
      </c>
      <c r="B39" s="370" t="s">
        <v>3</v>
      </c>
      <c r="C39" s="371" t="s">
        <v>4</v>
      </c>
      <c r="D39" s="372" t="s">
        <v>6</v>
      </c>
      <c r="E39" s="373" t="s">
        <v>40</v>
      </c>
      <c r="F39" s="374" t="s">
        <v>41</v>
      </c>
      <c r="G39" s="375" t="s">
        <v>122</v>
      </c>
      <c r="H39" s="376" t="s">
        <v>123</v>
      </c>
    </row>
    <row r="40" spans="1:8" ht="35.1" customHeight="1" thickBot="1" x14ac:dyDescent="0.35">
      <c r="A40" s="464"/>
      <c r="B40" s="377" t="s">
        <v>126</v>
      </c>
      <c r="C40" s="378" t="str">
        <f>VLOOKUP(B40,Tableau14[],8,FALSE)</f>
        <v>Wio</v>
      </c>
      <c r="D40" s="378">
        <f>VLOOKUP(B40,Tableau14[],14,FALSE)</f>
        <v>33.9</v>
      </c>
      <c r="E40" s="379">
        <v>0.09</v>
      </c>
      <c r="F40" s="357">
        <v>0.13</v>
      </c>
      <c r="G40" s="357" t="str">
        <f>VLOOKUP(B40,Tableau14[],10,FALSE)</f>
        <v>Citronné / Sucré</v>
      </c>
      <c r="H40" s="378" t="str">
        <f>VLOOKUP(B40,Tableau14[],4,FALSE)</f>
        <v>Qc</v>
      </c>
    </row>
    <row r="41" spans="1:8" ht="35.1" customHeight="1" x14ac:dyDescent="0.3">
      <c r="A41" s="464"/>
      <c r="B41" s="380" t="s">
        <v>127</v>
      </c>
      <c r="C41" s="378" t="str">
        <f>VLOOKUP(B41,Tableau14[],8,FALSE)</f>
        <v>Trailblazer</v>
      </c>
      <c r="D41" s="378">
        <f>VLOOKUP(B41,Tableau14[],14,FALSE)</f>
        <v>22.9</v>
      </c>
      <c r="E41" s="381">
        <v>0.04</v>
      </c>
      <c r="F41" s="382">
        <v>7.0000000000000007E-2</v>
      </c>
      <c r="G41" s="383" t="str">
        <f>VLOOKUP(B41,Tableau14[],10,FALSE)</f>
        <v>Fruité / Sucré</v>
      </c>
      <c r="H41" s="384" t="str">
        <f>VLOOKUP(B41,Tableau14[],4,FALSE)</f>
        <v>-</v>
      </c>
    </row>
    <row r="42" spans="1:8" ht="35.1" customHeight="1" thickBot="1" x14ac:dyDescent="0.35">
      <c r="A42" s="464"/>
      <c r="B42" s="385" t="s">
        <v>128</v>
      </c>
      <c r="C42" s="386" t="str">
        <f>VLOOKUP(B42,Tableau14[],8,FALSE)</f>
        <v>Solei</v>
      </c>
      <c r="D42" s="386">
        <f>VLOOKUP(B42,Tableau14[],14,FALSE)</f>
        <v>27</v>
      </c>
      <c r="E42" s="387">
        <v>0</v>
      </c>
      <c r="F42" s="388">
        <v>0.15</v>
      </c>
      <c r="G42" s="389" t="str">
        <f>VLOOKUP(B42,Tableau14[],10,FALSE)</f>
        <v>Mouffette / Épicé</v>
      </c>
      <c r="H42" s="386" t="str">
        <f>VLOOKUP(B42,Tableau14[],4,FALSE)</f>
        <v>-</v>
      </c>
    </row>
    <row r="43" spans="1:8" ht="35.1" customHeight="1" thickBot="1" x14ac:dyDescent="0.55000000000000004">
      <c r="A43" s="390"/>
      <c r="B43" s="364"/>
      <c r="C43" s="391"/>
      <c r="D43" s="391"/>
      <c r="E43" s="392"/>
      <c r="F43" s="367"/>
      <c r="G43" s="391"/>
      <c r="H43" s="369"/>
    </row>
    <row r="44" spans="1:8" ht="35.1" customHeight="1" thickBot="1" x14ac:dyDescent="0.35">
      <c r="A44" s="465" t="s">
        <v>129</v>
      </c>
      <c r="B44" s="347" t="s">
        <v>130</v>
      </c>
      <c r="C44" s="348" t="s">
        <v>4</v>
      </c>
      <c r="D44" s="349" t="s">
        <v>6</v>
      </c>
      <c r="E44" s="350" t="s">
        <v>40</v>
      </c>
      <c r="F44" s="393" t="s">
        <v>41</v>
      </c>
      <c r="G44" s="350" t="s">
        <v>122</v>
      </c>
      <c r="H44" s="394" t="s">
        <v>123</v>
      </c>
    </row>
    <row r="45" spans="1:8" ht="35.1" customHeight="1" x14ac:dyDescent="0.3">
      <c r="A45" s="466"/>
      <c r="B45" s="395" t="s">
        <v>131</v>
      </c>
      <c r="C45" s="396" t="str">
        <f>VLOOKUP(B45,Tableau16[],8,FALSE)</f>
        <v>Orchid</v>
      </c>
      <c r="D45" s="397">
        <f>VLOOKUP(B45,Tableau16[],14,FALSE)</f>
        <v>25.6</v>
      </c>
      <c r="E45" s="398">
        <v>0.11</v>
      </c>
      <c r="F45" s="398">
        <v>7.0000000000000007E-2</v>
      </c>
      <c r="G45" s="360" t="str">
        <f>VLOOKUP(B45,Tableau16[],10,FALSE)</f>
        <v>Fruité / Sucré</v>
      </c>
      <c r="H45" s="397" t="str">
        <f>VLOOKUP(B45,Tableau16[],4,FALSE)</f>
        <v>Qc</v>
      </c>
    </row>
    <row r="46" spans="1:8" ht="35.1" customHeight="1" x14ac:dyDescent="0.3">
      <c r="A46" s="466"/>
      <c r="B46" s="395" t="s">
        <v>132</v>
      </c>
      <c r="C46" s="399" t="str">
        <f>VLOOKUP(B46,Tableau16[],8,FALSE)</f>
        <v>Clem &amp; Co</v>
      </c>
      <c r="D46" s="397">
        <f>VLOOKUP(B46,Tableau16[],14,FALSE)</f>
        <v>29.9</v>
      </c>
      <c r="E46" s="398">
        <v>0.11</v>
      </c>
      <c r="F46" s="398">
        <v>0.15</v>
      </c>
      <c r="G46" s="360" t="str">
        <f>VLOOKUP(B46,Tableau16[],10,FALSE)</f>
        <v>Fruité / Floral</v>
      </c>
      <c r="H46" s="397" t="str">
        <f>VLOOKUP(B46,Tableau16[],4,FALSE)</f>
        <v>Qc</v>
      </c>
    </row>
    <row r="47" spans="1:8" ht="35.1" customHeight="1" x14ac:dyDescent="0.3">
      <c r="A47" s="466"/>
      <c r="B47" s="395" t="s">
        <v>135</v>
      </c>
      <c r="C47" s="400" t="str">
        <f>VLOOKUP(B47,Tableau16[],8,FALSE)</f>
        <v>Vert</v>
      </c>
      <c r="D47" s="397">
        <f>VLOOKUP(B47,Tableau16[],14,FALSE)</f>
        <v>30.6</v>
      </c>
      <c r="E47" s="398">
        <v>0.1</v>
      </c>
      <c r="F47" s="398">
        <v>0.13</v>
      </c>
      <c r="G47" s="360" t="str">
        <f>VLOOKUP(B47,Tableau16[],10,FALSE)</f>
        <v>Mouffette / Diesel</v>
      </c>
      <c r="H47" s="397" t="str">
        <f>VLOOKUP(B47,Tableau16[],4,FALSE)</f>
        <v>Qc</v>
      </c>
    </row>
    <row r="48" spans="1:8" ht="35.1" customHeight="1" x14ac:dyDescent="0.3">
      <c r="A48" s="466"/>
      <c r="B48" s="395" t="s">
        <v>134</v>
      </c>
      <c r="C48" s="399" t="str">
        <f>VLOOKUP(B48,Tableau16[],8,FALSE)</f>
        <v>Simply Bare</v>
      </c>
      <c r="D48" s="397">
        <f>VLOOKUP(B48,Tableau16[],14,FALSE)</f>
        <v>42.8</v>
      </c>
      <c r="E48" s="398">
        <v>0.09</v>
      </c>
      <c r="F48" s="398">
        <v>0.12</v>
      </c>
      <c r="G48" s="360" t="str">
        <f>VLOOKUP(B48,Tableau16[],10,FALSE)</f>
        <v>Terreux / Sucré</v>
      </c>
      <c r="H48" s="397" t="str">
        <f>VLOOKUP(B48,Tableau16[],4,FALSE)</f>
        <v>-</v>
      </c>
    </row>
    <row r="49" spans="1:8" ht="35.1" customHeight="1" x14ac:dyDescent="0.3">
      <c r="A49" s="466"/>
      <c r="B49" s="395" t="s">
        <v>133</v>
      </c>
      <c r="C49" s="399" t="str">
        <f>VLOOKUP(B49,Tableau16[],8,FALSE)</f>
        <v>Endo</v>
      </c>
      <c r="D49" s="397">
        <f>VLOOKUP(B49,Tableau16[],14,FALSE)</f>
        <v>29.9</v>
      </c>
      <c r="E49" s="398">
        <v>0.08</v>
      </c>
      <c r="F49" s="398">
        <v>0.06</v>
      </c>
      <c r="G49" s="360" t="str">
        <f>VLOOKUP(B49,Tableau16[],10,FALSE)</f>
        <v>Fruité / Citronné</v>
      </c>
      <c r="H49" s="397" t="str">
        <f>VLOOKUP(B49,Tableau16[],4,FALSE)</f>
        <v>Qc</v>
      </c>
    </row>
    <row r="50" spans="1:8" ht="35.1" customHeight="1" x14ac:dyDescent="0.3">
      <c r="A50" s="466"/>
      <c r="B50" s="395" t="s">
        <v>136</v>
      </c>
      <c r="C50" s="399" t="str">
        <f>VLOOKUP(B50,Tableau16[],8,FALSE)</f>
        <v>Promenade</v>
      </c>
      <c r="D50" s="397">
        <f>VLOOKUP(B50,Tableau16[],14,FALSE)</f>
        <v>21.4</v>
      </c>
      <c r="E50" s="398">
        <v>0.08</v>
      </c>
      <c r="F50" s="398">
        <v>0.08</v>
      </c>
      <c r="G50" s="360" t="str">
        <f>VLOOKUP(B50,Tableau16[],10,FALSE)</f>
        <v>Sucré / Terreux</v>
      </c>
      <c r="H50" s="397" t="str">
        <f>VLOOKUP(B50,Tableau16[],4,FALSE)</f>
        <v>-</v>
      </c>
    </row>
    <row r="51" spans="1:8" ht="35.1" customHeight="1" x14ac:dyDescent="0.3">
      <c r="A51" s="466"/>
      <c r="B51" s="395" t="s">
        <v>137</v>
      </c>
      <c r="C51" s="399" t="str">
        <f>VLOOKUP(B51,Tableau16[],8,FALSE)</f>
        <v>Solei</v>
      </c>
      <c r="D51" s="397">
        <f>VLOOKUP(B51,Tableau16[],14,FALSE)</f>
        <v>22.1</v>
      </c>
      <c r="E51" s="398">
        <v>0.08</v>
      </c>
      <c r="F51" s="398">
        <v>0.11</v>
      </c>
      <c r="G51" s="360" t="str">
        <f>VLOOKUP(B51,Tableau16[],10,FALSE)</f>
        <v>Citronné / Épicé</v>
      </c>
      <c r="H51" s="397" t="str">
        <f>VLOOKUP(B51,Tableau16[],4,FALSE)</f>
        <v>-</v>
      </c>
    </row>
    <row r="52" spans="1:8" ht="35.1" customHeight="1" x14ac:dyDescent="0.3">
      <c r="A52" s="466"/>
      <c r="B52" s="395" t="s">
        <v>138</v>
      </c>
      <c r="C52" s="399" t="str">
        <f>VLOOKUP(B52,Tableau16[],8,FALSE)</f>
        <v>Promenade</v>
      </c>
      <c r="D52" s="397">
        <f>VLOOKUP(B52,Tableau16[],14,FALSE)</f>
        <v>19.3</v>
      </c>
      <c r="E52" s="398">
        <v>0.08</v>
      </c>
      <c r="F52" s="398">
        <v>0.11</v>
      </c>
      <c r="G52" s="360" t="str">
        <f>VLOOKUP(B52,Tableau16[],10,FALSE)</f>
        <v>-</v>
      </c>
      <c r="H52" s="397" t="str">
        <f>VLOOKUP(B52,Tableau16[],4,FALSE)</f>
        <v>-</v>
      </c>
    </row>
    <row r="53" spans="1:8" ht="35.1" customHeight="1" x14ac:dyDescent="0.3">
      <c r="A53" s="466"/>
      <c r="B53" s="395" t="s">
        <v>141</v>
      </c>
      <c r="C53" s="399" t="str">
        <f>VLOOKUP(B53,Tableau16[],8,FALSE)</f>
        <v>Color Cannabis</v>
      </c>
      <c r="D53" s="397">
        <f>VLOOKUP(B53,Tableau16[],14,FALSE)</f>
        <v>29.7</v>
      </c>
      <c r="E53" s="398">
        <v>0.08</v>
      </c>
      <c r="F53" s="398">
        <v>0.13</v>
      </c>
      <c r="G53" s="360" t="str">
        <f>VLOOKUP(B53,Tableau16[],10,FALSE)</f>
        <v>Floral / Fruité</v>
      </c>
      <c r="H53" s="397" t="str">
        <f>VLOOKUP(B53,Tableau16[],4,FALSE)</f>
        <v>-</v>
      </c>
    </row>
    <row r="54" spans="1:8" ht="35.1" customHeight="1" x14ac:dyDescent="0.3">
      <c r="A54" s="466"/>
      <c r="B54" s="395" t="s">
        <v>139</v>
      </c>
      <c r="C54" s="399" t="str">
        <f>VLOOKUP(B54,Tableau16[],8,FALSE)</f>
        <v>Twd.</v>
      </c>
      <c r="D54" s="397">
        <f>VLOOKUP(B54,Tableau16[],14,FALSE)</f>
        <v>21.2</v>
      </c>
      <c r="E54" s="398">
        <v>7.0000000000000007E-2</v>
      </c>
      <c r="F54" s="398">
        <v>0.06</v>
      </c>
      <c r="G54" s="360" t="str">
        <f>VLOOKUP(B54,Tableau16[],10,FALSE)</f>
        <v>-</v>
      </c>
      <c r="H54" s="397" t="str">
        <f>VLOOKUP(B54,Tableau16[],4,FALSE)</f>
        <v>-</v>
      </c>
    </row>
    <row r="55" spans="1:8" ht="35.1" customHeight="1" x14ac:dyDescent="0.3">
      <c r="A55" s="466"/>
      <c r="B55" s="477" t="s">
        <v>140</v>
      </c>
      <c r="C55" s="399" t="str">
        <f>VLOOKUP(B55,Tableau16[],8,FALSE)</f>
        <v>Redecan</v>
      </c>
      <c r="D55" s="397">
        <f>VLOOKUP(B55,Tableau16[],14,FALSE)</f>
        <v>22.2</v>
      </c>
      <c r="E55" s="398">
        <v>7.0000000000000007E-2</v>
      </c>
      <c r="F55" s="398">
        <v>0.1</v>
      </c>
      <c r="G55" s="360" t="str">
        <f>VLOOKUP(B55,Tableau16[],10,FALSE)</f>
        <v>- / -</v>
      </c>
      <c r="H55" s="397" t="str">
        <f>VLOOKUP(B55,Tableau16[],4,FALSE)</f>
        <v>-</v>
      </c>
    </row>
    <row r="56" spans="1:8" ht="35.1" customHeight="1" x14ac:dyDescent="0.3">
      <c r="A56" s="466"/>
      <c r="B56" s="395" t="s">
        <v>142</v>
      </c>
      <c r="C56" s="399" t="str">
        <f>VLOOKUP(B56,Tableau16[],8,FALSE)</f>
        <v>5 Points Cannabis</v>
      </c>
      <c r="D56" s="397">
        <f>VLOOKUP(B56,Tableau16[],14,FALSE)</f>
        <v>27.6</v>
      </c>
      <c r="E56" s="398">
        <v>0.06</v>
      </c>
      <c r="F56" s="398">
        <v>0.08</v>
      </c>
      <c r="G56" s="360" t="str">
        <f>VLOOKUP(B56,Tableau16[],10,FALSE)</f>
        <v>Fruité / Citronné</v>
      </c>
      <c r="H56" s="397" t="str">
        <f>VLOOKUP(B56,Tableau16[],4,FALSE)</f>
        <v>Qc</v>
      </c>
    </row>
    <row r="57" spans="1:8" ht="35.1" customHeight="1" x14ac:dyDescent="0.3">
      <c r="A57" s="466"/>
      <c r="B57" s="395" t="s">
        <v>143</v>
      </c>
      <c r="C57" s="399" t="str">
        <f>VLOOKUP(B57,Tableau16[],8,FALSE)</f>
        <v>Bud Lafleur</v>
      </c>
      <c r="D57" s="397">
        <f>VLOOKUP(B57,Tableau16[],14,FALSE)</f>
        <v>27</v>
      </c>
      <c r="E57" s="398">
        <v>0.04</v>
      </c>
      <c r="F57" s="398">
        <v>0.06</v>
      </c>
      <c r="G57" s="360" t="str">
        <f>VLOOKUP(B57,Tableau16[],10,FALSE)</f>
        <v>Fruité / Sucré</v>
      </c>
      <c r="H57" s="397" t="str">
        <f>VLOOKUP(B57,Tableau16[],4,FALSE)</f>
        <v>Qc</v>
      </c>
    </row>
    <row r="58" spans="1:8" ht="35.1" customHeight="1" x14ac:dyDescent="0.3">
      <c r="A58" s="466"/>
      <c r="B58" s="395" t="s">
        <v>151</v>
      </c>
      <c r="C58" s="399" t="str">
        <f>VLOOKUP(B58,Tableau16[],8,FALSE)</f>
        <v>De La Ferme</v>
      </c>
      <c r="D58" s="397">
        <f>VLOOKUP(B58,Tableau16[],14,FALSE)</f>
        <v>17.3</v>
      </c>
      <c r="E58" s="398">
        <v>0</v>
      </c>
      <c r="F58" s="398">
        <v>0.1</v>
      </c>
      <c r="G58" s="360" t="str">
        <f>VLOOKUP(B58,Tableau16[],10,FALSE)</f>
        <v>Épicé / FLoral</v>
      </c>
      <c r="H58" s="397" t="str">
        <f>VLOOKUP(B58,Tableau16[],4,FALSE)</f>
        <v>Qc</v>
      </c>
    </row>
    <row r="59" spans="1:8" ht="35.1" customHeight="1" x14ac:dyDescent="0.3">
      <c r="A59" s="466"/>
      <c r="B59" s="395" t="s">
        <v>149</v>
      </c>
      <c r="C59" s="399" t="str">
        <f>VLOOKUP(B59,Tableau16[],8,FALSE)</f>
        <v>Équilibre</v>
      </c>
      <c r="D59" s="397">
        <f>VLOOKUP(B59,Tableau16[],14,FALSE)</f>
        <v>22.3</v>
      </c>
      <c r="E59" s="398">
        <v>0</v>
      </c>
      <c r="F59" s="398">
        <v>0.12</v>
      </c>
      <c r="G59" s="360" t="str">
        <f>VLOOKUP(B59,Tableau16[],10,FALSE)</f>
        <v>-</v>
      </c>
      <c r="H59" s="397" t="str">
        <f>VLOOKUP(B59,Tableau16[],4,FALSE)</f>
        <v>Qc</v>
      </c>
    </row>
    <row r="60" spans="1:8" ht="35.1" customHeight="1" x14ac:dyDescent="0.3">
      <c r="A60" s="466"/>
      <c r="B60" s="395" t="s">
        <v>150</v>
      </c>
      <c r="C60" s="399" t="str">
        <f>VLOOKUP(B60,Tableau16[],8,FALSE)</f>
        <v>Lunaire</v>
      </c>
      <c r="D60" s="397">
        <f>VLOOKUP(B60,Tableau16[],14,FALSE)</f>
        <v>25.8</v>
      </c>
      <c r="E60" s="398">
        <v>0</v>
      </c>
      <c r="F60" s="398">
        <v>0.12</v>
      </c>
      <c r="G60" s="360" t="str">
        <f>VLOOKUP(B60,Tableau16[],10,FALSE)</f>
        <v>Floral / Fruité</v>
      </c>
      <c r="H60" s="397" t="str">
        <f>VLOOKUP(B60,Tableau16[],4,FALSE)</f>
        <v>Qc</v>
      </c>
    </row>
    <row r="61" spans="1:8" ht="35.1" customHeight="1" x14ac:dyDescent="0.3">
      <c r="A61" s="466"/>
      <c r="B61" s="395" t="s">
        <v>146</v>
      </c>
      <c r="C61" s="399" t="str">
        <f>VLOOKUP(B61,Tableau16[],8,FALSE)</f>
        <v>Cannabiomedic</v>
      </c>
      <c r="D61" s="397">
        <f>VLOOKUP(B61,Tableau16[],14,FALSE)</f>
        <v>27.6</v>
      </c>
      <c r="E61" s="398">
        <v>0</v>
      </c>
      <c r="F61" s="398">
        <v>0.14000000000000001</v>
      </c>
      <c r="G61" s="360" t="str">
        <f>VLOOKUP(B61,Tableau16[],10,FALSE)</f>
        <v>-</v>
      </c>
      <c r="H61" s="397" t="str">
        <f>VLOOKUP(B61,Tableau16[],4,FALSE)</f>
        <v>Qc</v>
      </c>
    </row>
    <row r="62" spans="1:8" ht="35.1" customHeight="1" x14ac:dyDescent="0.3">
      <c r="A62" s="466"/>
      <c r="B62" s="395" t="s">
        <v>144</v>
      </c>
      <c r="C62" s="399" t="str">
        <f>VLOOKUP(B62,Tableau16[],8,FALSE)</f>
        <v>Promenade</v>
      </c>
      <c r="D62" s="397">
        <f>VLOOKUP(B62,Tableau16[],14,FALSE)</f>
        <v>21.4</v>
      </c>
      <c r="E62" s="398">
        <v>0</v>
      </c>
      <c r="F62" s="398">
        <v>0.16</v>
      </c>
      <c r="G62" s="360" t="str">
        <f>VLOOKUP(B62,Tableau16[],10,FALSE)</f>
        <v>Fruité / Floral</v>
      </c>
      <c r="H62" s="397" t="str">
        <f>VLOOKUP(B62,Tableau16[],4,FALSE)</f>
        <v>-</v>
      </c>
    </row>
    <row r="63" spans="1:8" ht="35.1" customHeight="1" x14ac:dyDescent="0.3">
      <c r="A63" s="466"/>
      <c r="B63" s="395" t="s">
        <v>145</v>
      </c>
      <c r="C63" s="399" t="str">
        <f>VLOOKUP(B63,Tableau16[],8,FALSE)</f>
        <v>Canna Farms</v>
      </c>
      <c r="D63" s="397">
        <f>VLOOKUP(B63,Tableau16[],14,FALSE)</f>
        <v>30.6</v>
      </c>
      <c r="E63" s="398">
        <v>0</v>
      </c>
      <c r="F63" s="398">
        <v>0.17</v>
      </c>
      <c r="G63" s="360" t="str">
        <f>VLOOKUP(B63,Tableau16[],10,FALSE)</f>
        <v>Fruité / Boisé</v>
      </c>
      <c r="H63" s="397" t="str">
        <f>VLOOKUP(B63,Tableau16[],4,FALSE)</f>
        <v>-</v>
      </c>
    </row>
    <row r="64" spans="1:8" ht="35.1" customHeight="1" x14ac:dyDescent="0.3">
      <c r="A64" s="466"/>
      <c r="B64" s="395" t="s">
        <v>147</v>
      </c>
      <c r="C64" s="399" t="str">
        <f>VLOOKUP(B64,Tableau16[],8,FALSE)</f>
        <v>XK</v>
      </c>
      <c r="D64" s="397">
        <f>VLOOKUP(B64,Tableau16[],14,FALSE)</f>
        <v>27</v>
      </c>
      <c r="E64" s="398">
        <v>0</v>
      </c>
      <c r="F64" s="398">
        <v>0.17</v>
      </c>
      <c r="G64" s="360" t="str">
        <f>VLOOKUP(B64,Tableau16[],10,FALSE)</f>
        <v>Terreux / Citronné</v>
      </c>
      <c r="H64" s="397" t="str">
        <f>VLOOKUP(B64,Tableau16[],4,FALSE)</f>
        <v>-</v>
      </c>
    </row>
    <row r="65" spans="1:8" ht="35.1" customHeight="1" thickBot="1" x14ac:dyDescent="0.35">
      <c r="A65" s="467"/>
      <c r="B65" s="395" t="s">
        <v>148</v>
      </c>
      <c r="C65" s="399" t="str">
        <f>VLOOKUP(B65,Tableau16[],8,FALSE)</f>
        <v>T'es Dans L'Champ</v>
      </c>
      <c r="D65" s="397">
        <f>VLOOKUP(B65,Tableau16[],14,FALSE)</f>
        <v>19.899999999999999</v>
      </c>
      <c r="E65" s="398">
        <v>0</v>
      </c>
      <c r="F65" s="398">
        <v>0.17</v>
      </c>
      <c r="G65" s="360" t="str">
        <f>VLOOKUP(B65,Tableau16[],10,FALSE)</f>
        <v>-</v>
      </c>
      <c r="H65" s="397" t="str">
        <f>VLOOKUP(B65,Tableau16[],4,FALSE)</f>
        <v>Qc</v>
      </c>
    </row>
    <row r="66" spans="1:8" ht="9.75" customHeight="1" x14ac:dyDescent="0.3">
      <c r="A66" s="183"/>
      <c r="B66" s="170"/>
      <c r="C66" s="169"/>
      <c r="D66" s="171"/>
      <c r="E66" s="172"/>
      <c r="F66" s="172"/>
      <c r="G66" s="169"/>
    </row>
    <row r="67" spans="1:8" ht="19.5" customHeight="1" x14ac:dyDescent="0.3">
      <c r="A67" s="169"/>
      <c r="B67" s="170"/>
      <c r="C67" s="169"/>
      <c r="D67" s="171"/>
      <c r="E67" s="172"/>
      <c r="F67" s="172"/>
      <c r="G67" s="169"/>
    </row>
    <row r="68" spans="1:8" ht="19.5" customHeight="1" x14ac:dyDescent="0.3">
      <c r="A68" s="169"/>
      <c r="B68" s="170"/>
      <c r="C68" s="169"/>
      <c r="D68" s="171"/>
      <c r="E68" s="172"/>
      <c r="F68" s="172"/>
      <c r="G68" s="169"/>
    </row>
    <row r="69" spans="1:8" ht="19.5" customHeight="1" x14ac:dyDescent="0.3">
      <c r="A69" s="169"/>
      <c r="B69" s="170"/>
      <c r="C69" s="169"/>
      <c r="D69" s="171"/>
      <c r="E69" s="172"/>
      <c r="F69" s="172"/>
      <c r="G69" s="169"/>
    </row>
    <row r="70" spans="1:8" ht="19.5" customHeight="1" x14ac:dyDescent="0.3">
      <c r="A70" s="169"/>
      <c r="B70" s="170"/>
      <c r="C70" s="169"/>
      <c r="D70" s="171"/>
      <c r="E70" s="172"/>
      <c r="F70" s="172"/>
      <c r="G70" s="169"/>
    </row>
    <row r="71" spans="1:8" ht="19.5" customHeight="1" x14ac:dyDescent="0.3">
      <c r="A71" s="169"/>
      <c r="B71" s="9"/>
      <c r="C71" s="173"/>
      <c r="D71" s="174"/>
      <c r="E71" s="184"/>
      <c r="F71" s="8"/>
      <c r="G71" s="8"/>
    </row>
    <row r="72" spans="1:8" ht="8.25" customHeight="1" x14ac:dyDescent="0.3">
      <c r="A72" s="4"/>
      <c r="B72" s="61"/>
      <c r="C72" s="61"/>
      <c r="D72" s="61"/>
      <c r="E72" s="61"/>
      <c r="F72" s="61"/>
      <c r="G72" s="61"/>
    </row>
    <row r="73" spans="1:8" ht="39" customHeight="1" x14ac:dyDescent="0.3">
      <c r="A73" s="61"/>
      <c r="B73" s="176"/>
      <c r="C73" s="176"/>
      <c r="D73" s="177"/>
      <c r="E73" s="11"/>
      <c r="F73" s="11"/>
      <c r="G73" s="177"/>
    </row>
    <row r="74" spans="1:8" ht="19.5" customHeight="1" x14ac:dyDescent="0.3">
      <c r="A74" s="175"/>
      <c r="B74" s="170"/>
      <c r="C74" s="170"/>
      <c r="D74" s="171"/>
      <c r="E74" s="179"/>
      <c r="F74" s="172"/>
      <c r="G74" s="169"/>
    </row>
    <row r="75" spans="1:8" ht="19.5" customHeight="1" x14ac:dyDescent="0.3">
      <c r="A75" s="169"/>
      <c r="B75" s="170"/>
      <c r="C75" s="169"/>
      <c r="D75" s="171"/>
      <c r="E75" s="179"/>
      <c r="F75" s="172"/>
      <c r="G75" s="169"/>
    </row>
    <row r="76" spans="1:8" ht="19.5" customHeight="1" x14ac:dyDescent="0.3">
      <c r="A76" s="169"/>
      <c r="B76" s="170"/>
      <c r="C76" s="170"/>
      <c r="D76" s="171"/>
      <c r="E76" s="179"/>
      <c r="F76" s="172"/>
      <c r="G76" s="169"/>
    </row>
    <row r="77" spans="1:8" ht="19.5" customHeight="1" x14ac:dyDescent="0.3">
      <c r="A77" s="169"/>
      <c r="B77" s="170"/>
      <c r="C77" s="170"/>
      <c r="D77" s="171"/>
      <c r="E77" s="179"/>
      <c r="F77" s="172"/>
      <c r="G77" s="169"/>
    </row>
    <row r="78" spans="1:8" ht="19.5" customHeight="1" x14ac:dyDescent="0.3">
      <c r="A78" s="169"/>
      <c r="B78" s="4"/>
      <c r="C78" s="4"/>
      <c r="D78" s="167"/>
      <c r="E78" s="185"/>
      <c r="F78" s="198"/>
      <c r="G78" s="4"/>
    </row>
    <row r="79" spans="1:8" ht="33.75" x14ac:dyDescent="0.3">
      <c r="A79" s="169"/>
      <c r="B79" s="61"/>
      <c r="C79" s="61"/>
      <c r="D79" s="61"/>
      <c r="E79" s="61"/>
      <c r="F79" s="61"/>
      <c r="G79" s="61"/>
    </row>
    <row r="80" spans="1:8" ht="39.75" customHeight="1" x14ac:dyDescent="0.3">
      <c r="A80" s="61"/>
      <c r="B80" s="176"/>
      <c r="C80" s="176"/>
      <c r="D80" s="178"/>
      <c r="E80" s="11"/>
      <c r="F80" s="11"/>
      <c r="G80" s="177"/>
    </row>
    <row r="81" spans="1:7" x14ac:dyDescent="0.3">
      <c r="A81" s="175"/>
      <c r="B81" s="170"/>
      <c r="C81" s="170"/>
      <c r="D81" s="171"/>
      <c r="E81" s="186"/>
      <c r="F81" s="186"/>
      <c r="G81" s="171"/>
    </row>
    <row r="82" spans="1:7" x14ac:dyDescent="0.3">
      <c r="A82" s="169"/>
      <c r="B82" s="170"/>
      <c r="C82" s="170"/>
      <c r="D82" s="180"/>
      <c r="E82" s="179"/>
      <c r="F82" s="172"/>
      <c r="G82" s="171"/>
    </row>
    <row r="83" spans="1:7" x14ac:dyDescent="0.3">
      <c r="A83" s="169"/>
      <c r="B83" s="170"/>
      <c r="C83" s="169"/>
      <c r="D83" s="171"/>
      <c r="E83" s="179"/>
      <c r="F83" s="172"/>
      <c r="G83" s="171"/>
    </row>
    <row r="84" spans="1:7" x14ac:dyDescent="0.3">
      <c r="A84" s="169"/>
      <c r="B84" s="170"/>
      <c r="C84" s="170"/>
      <c r="D84" s="171"/>
      <c r="E84" s="179"/>
      <c r="F84" s="172"/>
      <c r="G84" s="171"/>
    </row>
    <row r="85" spans="1:7" x14ac:dyDescent="0.3">
      <c r="A85" s="169"/>
      <c r="B85" s="4"/>
      <c r="C85" s="4"/>
      <c r="D85" s="167"/>
      <c r="E85" s="185"/>
      <c r="F85" s="198"/>
      <c r="G85" s="4"/>
    </row>
    <row r="86" spans="1:7" x14ac:dyDescent="0.3">
      <c r="A86" s="4"/>
      <c r="B86" s="4"/>
      <c r="C86" s="4"/>
      <c r="D86" s="167"/>
      <c r="E86" s="185"/>
      <c r="F86" s="198"/>
      <c r="G86" s="4"/>
    </row>
    <row r="87" spans="1:7" x14ac:dyDescent="0.3">
      <c r="A87" s="4"/>
      <c r="B87" s="4"/>
      <c r="C87" s="4"/>
      <c r="D87" s="167"/>
      <c r="E87" s="185"/>
      <c r="F87" s="198"/>
      <c r="G87" s="4"/>
    </row>
    <row r="88" spans="1:7" x14ac:dyDescent="0.3">
      <c r="A88" s="4"/>
      <c r="B88" s="4"/>
      <c r="C88" s="4"/>
      <c r="D88" s="167"/>
      <c r="E88" s="185"/>
      <c r="F88" s="198"/>
      <c r="G88" s="4"/>
    </row>
    <row r="89" spans="1:7" x14ac:dyDescent="0.3">
      <c r="A89" s="4"/>
      <c r="B89" s="4"/>
      <c r="C89" s="4"/>
      <c r="D89" s="167"/>
      <c r="E89" s="185"/>
      <c r="F89" s="198"/>
      <c r="G89" s="4"/>
    </row>
    <row r="90" spans="1:7" x14ac:dyDescent="0.3">
      <c r="A90" s="4"/>
      <c r="B90" s="4"/>
      <c r="C90" s="4"/>
      <c r="D90" s="167"/>
      <c r="E90" s="185"/>
      <c r="F90" s="198"/>
      <c r="G90" s="4"/>
    </row>
    <row r="91" spans="1:7" x14ac:dyDescent="0.3">
      <c r="A91" s="4"/>
      <c r="B91" s="4"/>
      <c r="C91" s="6"/>
      <c r="D91" s="166"/>
      <c r="E91" s="181"/>
      <c r="F91" s="181"/>
      <c r="G91" s="5"/>
    </row>
    <row r="92" spans="1:7" x14ac:dyDescent="0.3">
      <c r="A92" s="4"/>
    </row>
  </sheetData>
  <sheetProtection formatCells="0" formatColumns="0" formatRows="0" insertColumns="0" insertRows="0" insertHyperlinks="0" deleteColumns="0" deleteRows="0" sort="0" autoFilter="0" pivotTables="0"/>
  <mergeCells count="4">
    <mergeCell ref="A34:H34"/>
    <mergeCell ref="A35:A37"/>
    <mergeCell ref="A39:A42"/>
    <mergeCell ref="A44:A65"/>
  </mergeCells>
  <conditionalFormatting sqref="C91:C1048576 C1:C33">
    <cfRule type="cellIs" dxfId="7" priority="1" operator="equal">
      <formula>0</formula>
    </cfRule>
  </conditionalFormatting>
  <dataValidations count="2">
    <dataValidation type="list" allowBlank="1" showInputMessage="1" showErrorMessage="1" sqref="B1:C33" xr:uid="{0CCC7EF7-5BF9-4744-8322-9D76DCE0119E}">
      <formula1>hybride1</formula1>
    </dataValidation>
    <dataValidation type="list" allowBlank="1" showInputMessage="1" showErrorMessage="1" sqref="C75:C77 C81:C84" xr:uid="{97424017-0627-407F-AAC1-EB29797AC52A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46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outon 2">
              <controlPr defaultSize="0" print="0" autoFill="0" autoPict="0" macro="[0]!tri_77083" altText="Ajouter ligne">
                <anchor moveWithCells="1">
                  <from>
                    <xdr:col>0</xdr:col>
                    <xdr:colOff>123825</xdr:colOff>
                    <xdr:row>33</xdr:row>
                    <xdr:rowOff>19050</xdr:rowOff>
                  </from>
                  <to>
                    <xdr:col>1</xdr:col>
                    <xdr:colOff>885825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33</xdr:row>
                    <xdr:rowOff>47625</xdr:rowOff>
                  </from>
                  <to>
                    <xdr:col>7</xdr:col>
                    <xdr:colOff>1562100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imp_77083" altText="Ajouter ligne">
                <anchor moveWithCells="1">
                  <from>
                    <xdr:col>5</xdr:col>
                    <xdr:colOff>628650</xdr:colOff>
                    <xdr:row>33</xdr:row>
                    <xdr:rowOff>47625</xdr:rowOff>
                  </from>
                  <to>
                    <xdr:col>6</xdr:col>
                    <xdr:colOff>1971675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0CEAE7-1E07-439A-B19D-6FED6E8A289E}">
          <x14:formula1>
            <xm:f>'Base données formats'!$A$4:$A$12</xm:f>
          </x14:formula1>
          <xm:sqref>B40:B43</xm:sqref>
        </x14:dataValidation>
        <x14:dataValidation type="list" allowBlank="1" showInputMessage="1" showErrorMessage="1" xr:uid="{1488803F-4789-45D5-B0CA-174B732DA9C9}">
          <x14:formula1>
            <xm:f>'Base données formats'!$A$16:$A$17</xm:f>
          </x14:formula1>
          <xm:sqref>B36:B37 E37:F37</xm:sqref>
        </x14:dataValidation>
        <x14:dataValidation type="list" allowBlank="1" showInputMessage="1" showErrorMessage="1" xr:uid="{40E1D9B3-B426-4B3C-B0B1-E2FD9CF8DC5B}">
          <x14:formula1>
            <xm:f>'Base données formats'!$A$21:$A$69</xm:f>
          </x14:formula1>
          <xm:sqref>B45:B65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387BA-E201-4868-B337-BCEC9452B83E}">
  <sheetPr codeName="Feuil17">
    <pageSetUpPr fitToPage="1"/>
  </sheetPr>
  <dimension ref="A1:H53"/>
  <sheetViews>
    <sheetView showGridLines="0" zoomScale="70" zoomScaleNormal="70" workbookViewId="0"/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0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4" customHeight="1" x14ac:dyDescent="0.3">
      <c r="A13" s="450"/>
      <c r="B13" s="217" t="s">
        <v>132</v>
      </c>
      <c r="C13" s="221" t="str">
        <f>VLOOKUP(B13,Tableau16[],8,FALSE)</f>
        <v>Clem &amp; Co</v>
      </c>
      <c r="D13" s="218">
        <f>VLOOKUP(B13,Tableau16[],14,FALSE)</f>
        <v>29.9</v>
      </c>
      <c r="E13" s="219">
        <v>0.1</v>
      </c>
      <c r="F13" s="219">
        <v>0.13</v>
      </c>
      <c r="G13" s="220" t="str">
        <f>VLOOKUP(B13,Tableau16[],10,FALSE)</f>
        <v>Fruité / Floral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133</v>
      </c>
      <c r="C14" s="221" t="str">
        <f>VLOOKUP(B14,Tableau16[],8,FALSE)</f>
        <v>Endo</v>
      </c>
      <c r="D14" s="218">
        <f>VLOOKUP(B14,Tableau16[],14,FALSE)</f>
        <v>29.9</v>
      </c>
      <c r="E14" s="219">
        <v>0.09</v>
      </c>
      <c r="F14" s="219">
        <v>0.08</v>
      </c>
      <c r="G14" s="220" t="str">
        <f>VLOOKUP(B14,Tableau16[],10,FALSE)</f>
        <v>Fruité / Citronné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142</v>
      </c>
      <c r="C15" s="221" t="str">
        <f>VLOOKUP(B15,Tableau16[],8,FALSE)</f>
        <v>5 Points Cannabis</v>
      </c>
      <c r="D15" s="218">
        <f>VLOOKUP(B15,Tableau16[],14,FALSE)</f>
        <v>27.6</v>
      </c>
      <c r="E15" s="219">
        <v>0.09</v>
      </c>
      <c r="F15" s="219">
        <v>0.11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137</v>
      </c>
      <c r="C16" s="221" t="str">
        <f>VLOOKUP(B16,Tableau16[],8,FALSE)</f>
        <v>Solei</v>
      </c>
      <c r="D16" s="218">
        <f>VLOOKUP(B16,Tableau16[],14,FALSE)</f>
        <v>22.1</v>
      </c>
      <c r="E16" s="219">
        <v>0.08</v>
      </c>
      <c r="F16" s="219">
        <v>0.1</v>
      </c>
      <c r="G16" s="220" t="str">
        <f>VLOOKUP(B16,Tableau16[],10,FALSE)</f>
        <v>Citronné / Épicé</v>
      </c>
      <c r="H16" s="218" t="str">
        <f>VLOOKUP(B16,Tableau16[],4,FALSE)</f>
        <v>-</v>
      </c>
    </row>
    <row r="17" spans="1:8" ht="24" customHeight="1" x14ac:dyDescent="0.3">
      <c r="A17" s="450"/>
      <c r="B17" s="217" t="s">
        <v>131</v>
      </c>
      <c r="C17" s="221" t="str">
        <f>VLOOKUP(B17,Tableau16[],8,FALSE)</f>
        <v>Orchid</v>
      </c>
      <c r="D17" s="218">
        <f>VLOOKUP(B17,Tableau16[],14,FALSE)</f>
        <v>25.6</v>
      </c>
      <c r="E17" s="219">
        <v>0.08</v>
      </c>
      <c r="F17" s="219">
        <v>0.11</v>
      </c>
      <c r="G17" s="220" t="str">
        <f>VLOOKUP(B17,Tableau16[],10,FALSE)</f>
        <v>Fruité / Sucré</v>
      </c>
      <c r="H17" s="218" t="str">
        <f>VLOOKUP(B17,Tableau16[],4,FALSE)</f>
        <v>Qc</v>
      </c>
    </row>
    <row r="18" spans="1:8" ht="24" customHeight="1" x14ac:dyDescent="0.3">
      <c r="A18" s="450"/>
      <c r="B18" s="217" t="s">
        <v>141</v>
      </c>
      <c r="C18" s="221" t="str">
        <f>VLOOKUP(B18,Tableau16[],8,FALSE)</f>
        <v>Color Cannabis</v>
      </c>
      <c r="D18" s="218">
        <f>VLOOKUP(B18,Tableau16[],14,FALSE)</f>
        <v>29.7</v>
      </c>
      <c r="E18" s="219">
        <v>0.08</v>
      </c>
      <c r="F18" s="219">
        <v>0.13</v>
      </c>
      <c r="G18" s="220" t="str">
        <f>VLOOKUP(B18,Tableau16[],10,FALSE)</f>
        <v>Floral / Fruité</v>
      </c>
      <c r="H18" s="218" t="str">
        <f>VLOOKUP(B18,Tableau16[],4,FALSE)</f>
        <v>-</v>
      </c>
    </row>
    <row r="19" spans="1:8" ht="24" customHeight="1" x14ac:dyDescent="0.3">
      <c r="A19" s="450"/>
      <c r="B19" s="217" t="s">
        <v>136</v>
      </c>
      <c r="C19" s="221" t="str">
        <f>VLOOKUP(B19,Tableau16[],8,FALSE)</f>
        <v>Promenade</v>
      </c>
      <c r="D19" s="218">
        <f>VLOOKUP(B19,Tableau16[],14,FALSE)</f>
        <v>21.4</v>
      </c>
      <c r="E19" s="219">
        <v>7.0000000000000007E-2</v>
      </c>
      <c r="F19" s="219">
        <v>0.06</v>
      </c>
      <c r="G19" s="220" t="str">
        <f>VLOOKUP(B19,Tableau16[],10,FALSE)</f>
        <v>Sucré / Terreux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153</v>
      </c>
      <c r="C20" s="221" t="str">
        <f>VLOOKUP(B20,Tableau16[],8,FALSE)</f>
        <v>Fuga</v>
      </c>
      <c r="D20" s="218">
        <f>VLOOKUP(B20,Tableau16[],14,FALSE)</f>
        <v>26</v>
      </c>
      <c r="E20" s="219">
        <v>0.06</v>
      </c>
      <c r="F20" s="219">
        <v>7.0000000000000007E-2</v>
      </c>
      <c r="G20" s="220" t="str">
        <f>VLOOKUP(B20,Tableau16[],10,FALSE)</f>
        <v>-</v>
      </c>
      <c r="H20" s="218" t="str">
        <f>VLOOKUP(B20,Tableau16[],4,FALSE)</f>
        <v>Qc</v>
      </c>
    </row>
    <row r="21" spans="1:8" ht="24" customHeight="1" x14ac:dyDescent="0.3">
      <c r="A21" s="450"/>
      <c r="B21" s="217" t="s">
        <v>140</v>
      </c>
      <c r="C21" s="221" t="str">
        <f>VLOOKUP(B21,Tableau16[],8,FALSE)</f>
        <v>Redecan</v>
      </c>
      <c r="D21" s="218">
        <f>VLOOKUP(B21,Tableau16[],14,FALSE)</f>
        <v>22.2</v>
      </c>
      <c r="E21" s="219">
        <v>0.06</v>
      </c>
      <c r="F21" s="219">
        <v>0.09</v>
      </c>
      <c r="G21" s="220" t="str">
        <f>VLOOKUP(B21,Tableau16[],10,FALSE)</f>
        <v>- / -</v>
      </c>
      <c r="H21" s="218" t="str">
        <f>VLOOKUP(B21,Tableau16[],4,FALSE)</f>
        <v>-</v>
      </c>
    </row>
    <row r="22" spans="1:8" ht="24" customHeight="1" x14ac:dyDescent="0.3">
      <c r="A22" s="450"/>
      <c r="B22" s="217" t="s">
        <v>154</v>
      </c>
      <c r="C22" s="221" t="str">
        <f>VLOOKUP(B22,Tableau16[],8,FALSE)</f>
        <v>Canna Farms</v>
      </c>
      <c r="D22" s="218">
        <f>VLOOKUP(B22,Tableau16[],14,FALSE)</f>
        <v>30.6</v>
      </c>
      <c r="E22" s="219">
        <v>0.06</v>
      </c>
      <c r="F22" s="219">
        <v>0.1</v>
      </c>
      <c r="G22" s="220" t="str">
        <f>VLOOKUP(B22,Tableau16[],10,FALSE)</f>
        <v>Fruité / Boisé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155</v>
      </c>
      <c r="C23" s="221" t="str">
        <f>VLOOKUP(B23,Tableau16[],8,FALSE)</f>
        <v>Color Cannabis</v>
      </c>
      <c r="D23" s="218">
        <f>VLOOKUP(B23,Tableau16[],14,FALSE)</f>
        <v>29.7</v>
      </c>
      <c r="E23" s="219">
        <v>0</v>
      </c>
      <c r="F23" s="219">
        <v>0.08</v>
      </c>
      <c r="G23" s="220" t="str">
        <f>VLOOKUP(B23,Tableau16[],10,FALSE)</f>
        <v>Boisé / Épicé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151</v>
      </c>
      <c r="C24" s="221" t="str">
        <f>VLOOKUP(B24,Tableau16[],8,FALSE)</f>
        <v>De La Ferme</v>
      </c>
      <c r="D24" s="218">
        <f>VLOOKUP(B24,Tableau16[],14,FALSE)</f>
        <v>17.3</v>
      </c>
      <c r="E24" s="219">
        <v>0</v>
      </c>
      <c r="F24" s="219">
        <v>0.12</v>
      </c>
      <c r="G24" s="220" t="str">
        <f>VLOOKUP(B24,Tableau16[],10,FALSE)</f>
        <v>Épicé / FLoral</v>
      </c>
      <c r="H24" s="218" t="str">
        <f>VLOOKUP(B24,Tableau16[],4,FALSE)</f>
        <v>Qc</v>
      </c>
    </row>
    <row r="25" spans="1:8" ht="24" customHeight="1" x14ac:dyDescent="0.3">
      <c r="A25" s="450"/>
      <c r="B25" s="217" t="s">
        <v>156</v>
      </c>
      <c r="C25" s="221" t="str">
        <f>VLOOKUP(B25,Tableau16[],8,FALSE)</f>
        <v>Vert</v>
      </c>
      <c r="D25" s="218">
        <f>VLOOKUP(B25,Tableau16[],14,FALSE)</f>
        <v>30.6</v>
      </c>
      <c r="E25" s="219">
        <v>0</v>
      </c>
      <c r="F25" s="219">
        <v>0.12</v>
      </c>
      <c r="G25" s="220" t="str">
        <f>VLOOKUP(B25,Tableau16[],10,FALSE)</f>
        <v>Boisé / Terreux</v>
      </c>
      <c r="H25" s="218" t="str">
        <f>VLOOKUP(B25,Tableau16[],4,FALSE)</f>
        <v>Qc</v>
      </c>
    </row>
    <row r="26" spans="1:8" ht="24" customHeight="1" thickBot="1" x14ac:dyDescent="0.35">
      <c r="A26" s="451"/>
      <c r="B26" s="256" t="s">
        <v>145</v>
      </c>
      <c r="C26" s="257" t="str">
        <f>VLOOKUP(B26,Tableau16[],8,FALSE)</f>
        <v>Canna Farms</v>
      </c>
      <c r="D26" s="258">
        <f>VLOOKUP(B26,Tableau16[],14,FALSE)</f>
        <v>30.6</v>
      </c>
      <c r="E26" s="259">
        <v>0</v>
      </c>
      <c r="F26" s="259">
        <v>0.17</v>
      </c>
      <c r="G26" s="260" t="str">
        <f>VLOOKUP(B26,Tableau16[],10,FALSE)</f>
        <v>Fruité / Boisé</v>
      </c>
      <c r="H26" s="258" t="str">
        <f>VLOOKUP(B26,Tableau16[],4,FALSE)</f>
        <v>-</v>
      </c>
    </row>
    <row r="27" spans="1:8" ht="9.75" customHeight="1" x14ac:dyDescent="0.3">
      <c r="A27" s="183"/>
      <c r="B27" s="170"/>
      <c r="C27" s="169"/>
      <c r="D27" s="171"/>
      <c r="E27" s="172"/>
      <c r="F27" s="172"/>
      <c r="G27" s="169"/>
    </row>
    <row r="28" spans="1:8" ht="19.5" customHeight="1" x14ac:dyDescent="0.3">
      <c r="A28" s="169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9"/>
      <c r="C32" s="173"/>
      <c r="D32" s="174"/>
      <c r="E32" s="184"/>
      <c r="F32" s="8"/>
      <c r="G32" s="8"/>
    </row>
    <row r="33" spans="1:7" ht="8.25" customHeight="1" x14ac:dyDescent="0.3">
      <c r="A33" s="4"/>
      <c r="B33" s="61"/>
      <c r="C33" s="61"/>
      <c r="D33" s="61"/>
      <c r="E33" s="61"/>
      <c r="F33" s="61"/>
      <c r="G33" s="61"/>
    </row>
    <row r="34" spans="1:7" ht="39" customHeight="1" x14ac:dyDescent="0.3">
      <c r="A34" s="61"/>
      <c r="B34" s="176"/>
      <c r="C34" s="176"/>
      <c r="D34" s="177"/>
      <c r="E34" s="11"/>
      <c r="F34" s="11"/>
      <c r="G34" s="177"/>
    </row>
    <row r="35" spans="1:7" ht="19.5" customHeight="1" x14ac:dyDescent="0.3">
      <c r="A35" s="175"/>
      <c r="B35" s="170"/>
      <c r="C35" s="170"/>
      <c r="D35" s="171"/>
      <c r="E35" s="179"/>
      <c r="F35" s="172"/>
      <c r="G35" s="169"/>
    </row>
    <row r="36" spans="1:7" ht="19.5" customHeight="1" x14ac:dyDescent="0.3">
      <c r="A36" s="169"/>
      <c r="B36" s="170"/>
      <c r="C36" s="169"/>
      <c r="D36" s="171"/>
      <c r="E36" s="179"/>
      <c r="F36" s="172"/>
      <c r="G36" s="169"/>
    </row>
    <row r="37" spans="1:7" ht="19.5" customHeight="1" x14ac:dyDescent="0.3">
      <c r="A37" s="169"/>
      <c r="B37" s="170"/>
      <c r="C37" s="170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4"/>
      <c r="C39" s="4"/>
      <c r="D39" s="167"/>
      <c r="E39" s="185"/>
      <c r="F39" s="198"/>
      <c r="G39" s="4"/>
    </row>
    <row r="40" spans="1:7" ht="33.75" x14ac:dyDescent="0.3">
      <c r="A40" s="169"/>
      <c r="B40" s="61"/>
      <c r="C40" s="61"/>
      <c r="D40" s="61"/>
      <c r="E40" s="61"/>
      <c r="F40" s="61"/>
      <c r="G40" s="61"/>
    </row>
    <row r="41" spans="1:7" ht="39.75" customHeight="1" x14ac:dyDescent="0.3">
      <c r="A41" s="61"/>
      <c r="B41" s="176"/>
      <c r="C41" s="176"/>
      <c r="D41" s="178"/>
      <c r="E41" s="11"/>
      <c r="F41" s="11"/>
      <c r="G41" s="177"/>
    </row>
    <row r="42" spans="1:7" x14ac:dyDescent="0.3">
      <c r="A42" s="175"/>
      <c r="B42" s="170"/>
      <c r="C42" s="170"/>
      <c r="D42" s="171"/>
      <c r="E42" s="186"/>
      <c r="F42" s="186"/>
      <c r="G42" s="171"/>
    </row>
    <row r="43" spans="1:7" x14ac:dyDescent="0.3">
      <c r="A43" s="169"/>
      <c r="B43" s="170"/>
      <c r="C43" s="170"/>
      <c r="D43" s="180"/>
      <c r="E43" s="179"/>
      <c r="F43" s="172"/>
      <c r="G43" s="171"/>
    </row>
    <row r="44" spans="1:7" x14ac:dyDescent="0.3">
      <c r="A44" s="169"/>
      <c r="B44" s="170"/>
      <c r="C44" s="169"/>
      <c r="D44" s="171"/>
      <c r="E44" s="179"/>
      <c r="F44" s="172"/>
      <c r="G44" s="171"/>
    </row>
    <row r="45" spans="1:7" x14ac:dyDescent="0.3">
      <c r="A45" s="169"/>
      <c r="B45" s="170"/>
      <c r="C45" s="170"/>
      <c r="D45" s="171"/>
      <c r="E45" s="179"/>
      <c r="F45" s="172"/>
      <c r="G45" s="171"/>
    </row>
    <row r="46" spans="1:7" x14ac:dyDescent="0.3">
      <c r="A46" s="169"/>
      <c r="B46" s="4"/>
      <c r="C46" s="4"/>
      <c r="D46" s="167"/>
      <c r="E46" s="185"/>
      <c r="F46" s="198"/>
      <c r="G46" s="4"/>
    </row>
    <row r="47" spans="1:7" x14ac:dyDescent="0.3">
      <c r="A47" s="4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6"/>
      <c r="D52" s="166"/>
      <c r="E52" s="181"/>
      <c r="F52" s="181"/>
      <c r="G52" s="5"/>
    </row>
    <row r="53" spans="1:7" x14ac:dyDescent="0.3">
      <c r="A53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6"/>
  </mergeCells>
  <conditionalFormatting sqref="C52:C1048576 C1">
    <cfRule type="cellIs" dxfId="6" priority="1" operator="equal">
      <formula>0</formula>
    </cfRule>
  </conditionalFormatting>
  <dataValidations count="2">
    <dataValidation type="list" allowBlank="1" showInputMessage="1" showErrorMessage="1" sqref="C36:C38 C42:C45" xr:uid="{F50DE94F-D113-4467-9C33-733D3B3B2E81}">
      <formula1>#REF!</formula1>
    </dataValidation>
    <dataValidation type="list" allowBlank="1" showInputMessage="1" showErrorMessage="1" sqref="B1:C1" xr:uid="{B486FD95-077F-432B-8F87-3584FCA1D057}">
      <formula1>hybride1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4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outon 2">
              <controlPr defaultSize="0" print="0" autoFill="0" autoPict="0" macro="[0]!tri_77090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imp_77090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95250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22B3081-A636-40F5-8039-1E752420726C}">
          <x14:formula1>
            <xm:f>'Base données formats'!$A$4:$A$12</xm:f>
          </x14:formula1>
          <xm:sqref>B8:B11</xm:sqref>
        </x14:dataValidation>
        <x14:dataValidation type="list" allowBlank="1" showInputMessage="1" showErrorMessage="1" xr:uid="{C8E38F9F-9524-4DDB-98B4-F057835ACF41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81F64A30-556B-43D7-B50C-E42F43709EC5}">
          <x14:formula1>
            <xm:f>'Base données formats'!$A$21:$A$69</xm:f>
          </x14:formula1>
          <xm:sqref>B13:B26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71701-7606-44CC-9941-110C965D2324}">
  <sheetPr codeName="Feuil22">
    <pageSetUpPr fitToPage="1"/>
  </sheetPr>
  <dimension ref="A1:H53"/>
  <sheetViews>
    <sheetView showGridLines="0" zoomScale="70" zoomScaleNormal="70" workbookViewId="0"/>
  </sheetViews>
  <sheetFormatPr baseColWidth="10" defaultColWidth="11.42578125" defaultRowHeight="17.25" x14ac:dyDescent="0.3"/>
  <cols>
    <col min="1" max="1" width="6.28515625" style="1" bestFit="1" customWidth="1"/>
    <col min="2" max="2" width="63.85546875" style="1" bestFit="1" customWidth="1"/>
    <col min="3" max="3" width="33.140625" style="3" bestFit="1" customWidth="1"/>
    <col min="4" max="4" width="16.42578125" style="168" bestFit="1" customWidth="1"/>
    <col min="5" max="5" width="14.85546875" style="187" bestFit="1" customWidth="1"/>
    <col min="6" max="6" width="15.28515625" style="187" bestFit="1" customWidth="1"/>
    <col min="7" max="7" width="30.7109375" style="2" bestFit="1" customWidth="1"/>
    <col min="8" max="8" width="25" style="1" bestFit="1" customWidth="1"/>
    <col min="9" max="16384" width="11.42578125" style="1"/>
  </cols>
  <sheetData>
    <row r="1" spans="1:8" ht="8.25" customHeight="1" thickBot="1" x14ac:dyDescent="0.35">
      <c r="A1" s="12"/>
      <c r="B1" s="213"/>
      <c r="C1" s="214"/>
      <c r="D1" s="215"/>
      <c r="E1" s="216"/>
      <c r="F1" s="11"/>
      <c r="G1" s="11"/>
    </row>
    <row r="2" spans="1:8" ht="39" customHeight="1" thickBot="1" x14ac:dyDescent="0.35">
      <c r="A2" s="443" t="s">
        <v>152</v>
      </c>
      <c r="B2" s="444"/>
      <c r="C2" s="444"/>
      <c r="D2" s="444"/>
      <c r="E2" s="444"/>
      <c r="F2" s="444"/>
      <c r="G2" s="444"/>
      <c r="H2" s="445"/>
    </row>
    <row r="3" spans="1:8" ht="21.95" customHeight="1" thickBot="1" x14ac:dyDescent="0.35">
      <c r="A3" s="446" t="s">
        <v>121</v>
      </c>
      <c r="B3" s="190" t="s">
        <v>3</v>
      </c>
      <c r="C3" s="182" t="s">
        <v>4</v>
      </c>
      <c r="D3" s="191" t="s">
        <v>6</v>
      </c>
      <c r="E3" s="192" t="s">
        <v>40</v>
      </c>
      <c r="F3" s="196" t="s">
        <v>41</v>
      </c>
      <c r="G3" s="196" t="s">
        <v>122</v>
      </c>
      <c r="H3" s="193" t="s">
        <v>123</v>
      </c>
    </row>
    <row r="4" spans="1:8" ht="21.95" customHeight="1" x14ac:dyDescent="0.3">
      <c r="A4" s="447"/>
      <c r="B4" s="223" t="s">
        <v>124</v>
      </c>
      <c r="C4" s="224" t="str">
        <f>VLOOKUP(B4,Tableau15[],8,FALSE)</f>
        <v>Vert</v>
      </c>
      <c r="D4" s="225">
        <f>VLOOKUP(B4,Tableau15[],14,FALSE)</f>
        <v>27</v>
      </c>
      <c r="E4" s="228">
        <v>0.05</v>
      </c>
      <c r="F4" s="231">
        <v>0.15</v>
      </c>
      <c r="G4" s="211" t="str">
        <f>VLOOKUP(B4,Tableau15[],10,FALSE)</f>
        <v>Épicé / Fruité</v>
      </c>
      <c r="H4" s="230" t="str">
        <f>VLOOKUP(B4,Tableau15[],4,FALSE)</f>
        <v>Qc</v>
      </c>
    </row>
    <row r="5" spans="1:8" ht="21.95" customHeight="1" thickBot="1" x14ac:dyDescent="0.35">
      <c r="A5" s="448"/>
      <c r="B5" s="223" t="s">
        <v>87</v>
      </c>
      <c r="C5" s="224" t="str">
        <f>VLOOKUP(B5,Tableau15[],8,FALSE)</f>
        <v>-</v>
      </c>
      <c r="D5" s="225">
        <f>VLOOKUP(B5,Tableau15[],14,FALSE)</f>
        <v>0</v>
      </c>
      <c r="E5" s="222"/>
      <c r="F5" s="210"/>
      <c r="G5" s="229" t="str">
        <f>VLOOKUP(B5,Tableau15[],10,FALSE)</f>
        <v>-</v>
      </c>
      <c r="H5" s="224" t="str">
        <f>VLOOKUP(B5,Tableau15[],4,FALSE)</f>
        <v>-</v>
      </c>
    </row>
    <row r="6" spans="1:8" ht="13.5" customHeight="1" thickBot="1" x14ac:dyDescent="0.35">
      <c r="A6" s="233"/>
      <c r="B6" s="234"/>
      <c r="C6" s="235"/>
      <c r="D6" s="236"/>
      <c r="E6" s="237"/>
      <c r="F6" s="237"/>
      <c r="G6" s="238"/>
    </row>
    <row r="7" spans="1:8" ht="21.75" customHeight="1" thickBot="1" x14ac:dyDescent="0.35">
      <c r="A7" s="446" t="s">
        <v>125</v>
      </c>
      <c r="B7" s="239" t="s">
        <v>3</v>
      </c>
      <c r="C7" s="188" t="s">
        <v>4</v>
      </c>
      <c r="D7" s="240" t="s">
        <v>6</v>
      </c>
      <c r="E7" s="189" t="s">
        <v>40</v>
      </c>
      <c r="F7" s="197" t="s">
        <v>41</v>
      </c>
      <c r="G7" s="241" t="s">
        <v>122</v>
      </c>
      <c r="H7" s="242" t="s">
        <v>123</v>
      </c>
    </row>
    <row r="8" spans="1:8" ht="27" customHeight="1" thickBot="1" x14ac:dyDescent="0.35">
      <c r="A8" s="447"/>
      <c r="B8" s="252" t="s">
        <v>126</v>
      </c>
      <c r="C8" s="232" t="str">
        <f>VLOOKUP(B8,Tableau14[],8,FALSE)</f>
        <v>Wio</v>
      </c>
      <c r="D8" s="232">
        <f>VLOOKUP(B8,Tableau14[],14,FALSE)</f>
        <v>33.9</v>
      </c>
      <c r="E8" s="254">
        <v>7.0000000000000007E-2</v>
      </c>
      <c r="F8" s="231">
        <v>0.11</v>
      </c>
      <c r="G8" s="231" t="str">
        <f>VLOOKUP(B8,Tableau14[],10,FALSE)</f>
        <v>Citronné / Sucré</v>
      </c>
      <c r="H8" s="232" t="str">
        <f>VLOOKUP(B8,Tableau14[],4,FALSE)</f>
        <v>Qc</v>
      </c>
    </row>
    <row r="9" spans="1:8" ht="27" customHeight="1" x14ac:dyDescent="0.3">
      <c r="A9" s="447"/>
      <c r="B9" s="253" t="s">
        <v>127</v>
      </c>
      <c r="C9" s="232" t="str">
        <f>VLOOKUP(B9,Tableau14[],8,FALSE)</f>
        <v>Trailblazer</v>
      </c>
      <c r="D9" s="232">
        <f>VLOOKUP(B9,Tableau14[],14,FALSE)</f>
        <v>22.9</v>
      </c>
      <c r="E9" s="255">
        <v>0.05</v>
      </c>
      <c r="F9" s="222">
        <v>0.09</v>
      </c>
      <c r="G9" s="261" t="str">
        <f>VLOOKUP(B9,Tableau14[],10,FALSE)</f>
        <v>Fruité / Sucré</v>
      </c>
      <c r="H9" s="262" t="str">
        <f>VLOOKUP(B9,Tableau14[],4,FALSE)</f>
        <v>-</v>
      </c>
    </row>
    <row r="10" spans="1:8" ht="27" customHeight="1" thickBot="1" x14ac:dyDescent="0.35">
      <c r="A10" s="447"/>
      <c r="B10" s="247" t="s">
        <v>128</v>
      </c>
      <c r="C10" s="250" t="str">
        <f>VLOOKUP(B10,Tableau14[],8,FALSE)</f>
        <v>Solei</v>
      </c>
      <c r="D10" s="250">
        <f>VLOOKUP(B10,Tableau14[],14,FALSE)</f>
        <v>27</v>
      </c>
      <c r="E10" s="248">
        <v>0</v>
      </c>
      <c r="F10" s="249">
        <v>0.15</v>
      </c>
      <c r="G10" s="251" t="str">
        <f>VLOOKUP(B10,Tableau14[],10,FALSE)</f>
        <v>Mouffette / Épicé</v>
      </c>
      <c r="H10" s="250" t="str">
        <f>VLOOKUP(B10,Tableau14[],4,FALSE)</f>
        <v>-</v>
      </c>
    </row>
    <row r="11" spans="1:8" ht="13.5" customHeight="1" thickBot="1" x14ac:dyDescent="0.35">
      <c r="A11" s="245"/>
      <c r="B11" s="243"/>
      <c r="C11" s="205"/>
      <c r="D11" s="205"/>
      <c r="E11" s="206"/>
      <c r="F11" s="244"/>
      <c r="G11" s="205"/>
    </row>
    <row r="12" spans="1:8" ht="21" customHeight="1" thickBot="1" x14ac:dyDescent="0.35">
      <c r="A12" s="449" t="s">
        <v>129</v>
      </c>
      <c r="B12" s="190" t="s">
        <v>130</v>
      </c>
      <c r="C12" s="182" t="s">
        <v>4</v>
      </c>
      <c r="D12" s="191" t="s">
        <v>6</v>
      </c>
      <c r="E12" s="192" t="s">
        <v>40</v>
      </c>
      <c r="F12" s="226" t="s">
        <v>41</v>
      </c>
      <c r="G12" s="192" t="s">
        <v>122</v>
      </c>
      <c r="H12" s="227" t="s">
        <v>123</v>
      </c>
    </row>
    <row r="13" spans="1:8" ht="24" customHeight="1" x14ac:dyDescent="0.3">
      <c r="A13" s="450"/>
      <c r="B13" s="217" t="s">
        <v>132</v>
      </c>
      <c r="C13" s="221" t="str">
        <f>VLOOKUP(B13,Tableau16[],8,FALSE)</f>
        <v>Clem &amp; Co</v>
      </c>
      <c r="D13" s="218">
        <f>VLOOKUP(B13,Tableau16[],14,FALSE)</f>
        <v>29.9</v>
      </c>
      <c r="E13" s="219">
        <v>0.1</v>
      </c>
      <c r="F13" s="219">
        <v>0.13</v>
      </c>
      <c r="G13" s="220" t="str">
        <f>VLOOKUP(B13,Tableau16[],10,FALSE)</f>
        <v>Fruité / Floral</v>
      </c>
      <c r="H13" s="218" t="str">
        <f>VLOOKUP(B13,Tableau16[],4,FALSE)</f>
        <v>Qc</v>
      </c>
    </row>
    <row r="14" spans="1:8" ht="24" customHeight="1" x14ac:dyDescent="0.3">
      <c r="A14" s="450"/>
      <c r="B14" s="217" t="s">
        <v>133</v>
      </c>
      <c r="C14" s="221" t="str">
        <f>VLOOKUP(B14,Tableau16[],8,FALSE)</f>
        <v>Endo</v>
      </c>
      <c r="D14" s="218">
        <f>VLOOKUP(B14,Tableau16[],14,FALSE)</f>
        <v>29.9</v>
      </c>
      <c r="E14" s="219">
        <v>0.09</v>
      </c>
      <c r="F14" s="219">
        <v>0.08</v>
      </c>
      <c r="G14" s="220" t="str">
        <f>VLOOKUP(B14,Tableau16[],10,FALSE)</f>
        <v>Fruité / Citronné</v>
      </c>
      <c r="H14" s="218" t="str">
        <f>VLOOKUP(B14,Tableau16[],4,FALSE)</f>
        <v>Qc</v>
      </c>
    </row>
    <row r="15" spans="1:8" ht="24" customHeight="1" x14ac:dyDescent="0.3">
      <c r="A15" s="450"/>
      <c r="B15" s="217" t="s">
        <v>142</v>
      </c>
      <c r="C15" s="221" t="str">
        <f>VLOOKUP(B15,Tableau16[],8,FALSE)</f>
        <v>5 Points Cannabis</v>
      </c>
      <c r="D15" s="218">
        <f>VLOOKUP(B15,Tableau16[],14,FALSE)</f>
        <v>27.6</v>
      </c>
      <c r="E15" s="219">
        <v>0.09</v>
      </c>
      <c r="F15" s="219">
        <v>0.11</v>
      </c>
      <c r="G15" s="220" t="str">
        <f>VLOOKUP(B15,Tableau16[],10,FALSE)</f>
        <v>Fruité / Citronné</v>
      </c>
      <c r="H15" s="218" t="str">
        <f>VLOOKUP(B15,Tableau16[],4,FALSE)</f>
        <v>Qc</v>
      </c>
    </row>
    <row r="16" spans="1:8" ht="24" customHeight="1" x14ac:dyDescent="0.3">
      <c r="A16" s="450"/>
      <c r="B16" s="217" t="s">
        <v>137</v>
      </c>
      <c r="C16" s="221" t="str">
        <f>VLOOKUP(B16,Tableau16[],8,FALSE)</f>
        <v>Solei</v>
      </c>
      <c r="D16" s="218">
        <f>VLOOKUP(B16,Tableau16[],14,FALSE)</f>
        <v>22.1</v>
      </c>
      <c r="E16" s="219">
        <v>0.08</v>
      </c>
      <c r="F16" s="219">
        <v>0.1</v>
      </c>
      <c r="G16" s="220" t="str">
        <f>VLOOKUP(B16,Tableau16[],10,FALSE)</f>
        <v>Citronné / Épicé</v>
      </c>
      <c r="H16" s="218" t="str">
        <f>VLOOKUP(B16,Tableau16[],4,FALSE)</f>
        <v>-</v>
      </c>
    </row>
    <row r="17" spans="1:8" ht="24" customHeight="1" x14ac:dyDescent="0.3">
      <c r="A17" s="450"/>
      <c r="B17" s="217" t="s">
        <v>131</v>
      </c>
      <c r="C17" s="221" t="str">
        <f>VLOOKUP(B17,Tableau16[],8,FALSE)</f>
        <v>Orchid</v>
      </c>
      <c r="D17" s="218">
        <f>VLOOKUP(B17,Tableau16[],14,FALSE)</f>
        <v>25.6</v>
      </c>
      <c r="E17" s="219">
        <v>0.08</v>
      </c>
      <c r="F17" s="219">
        <v>0.11</v>
      </c>
      <c r="G17" s="220" t="str">
        <f>VLOOKUP(B17,Tableau16[],10,FALSE)</f>
        <v>Fruité / Sucré</v>
      </c>
      <c r="H17" s="218" t="str">
        <f>VLOOKUP(B17,Tableau16[],4,FALSE)</f>
        <v>Qc</v>
      </c>
    </row>
    <row r="18" spans="1:8" ht="24" customHeight="1" x14ac:dyDescent="0.3">
      <c r="A18" s="450"/>
      <c r="B18" s="217" t="s">
        <v>141</v>
      </c>
      <c r="C18" s="221" t="str">
        <f>VLOOKUP(B18,Tableau16[],8,FALSE)</f>
        <v>Color Cannabis</v>
      </c>
      <c r="D18" s="218">
        <f>VLOOKUP(B18,Tableau16[],14,FALSE)</f>
        <v>29.7</v>
      </c>
      <c r="E18" s="219">
        <v>0.08</v>
      </c>
      <c r="F18" s="219">
        <v>0.13</v>
      </c>
      <c r="G18" s="220" t="str">
        <f>VLOOKUP(B18,Tableau16[],10,FALSE)</f>
        <v>Floral / Fruité</v>
      </c>
      <c r="H18" s="218" t="str">
        <f>VLOOKUP(B18,Tableau16[],4,FALSE)</f>
        <v>-</v>
      </c>
    </row>
    <row r="19" spans="1:8" ht="24" customHeight="1" x14ac:dyDescent="0.3">
      <c r="A19" s="450"/>
      <c r="B19" s="217" t="s">
        <v>136</v>
      </c>
      <c r="C19" s="221" t="str">
        <f>VLOOKUP(B19,Tableau16[],8,FALSE)</f>
        <v>Promenade</v>
      </c>
      <c r="D19" s="218">
        <f>VLOOKUP(B19,Tableau16[],14,FALSE)</f>
        <v>21.4</v>
      </c>
      <c r="E19" s="219">
        <v>7.0000000000000007E-2</v>
      </c>
      <c r="F19" s="219">
        <v>0.06</v>
      </c>
      <c r="G19" s="220" t="str">
        <f>VLOOKUP(B19,Tableau16[],10,FALSE)</f>
        <v>Sucré / Terreux</v>
      </c>
      <c r="H19" s="218" t="str">
        <f>VLOOKUP(B19,Tableau16[],4,FALSE)</f>
        <v>-</v>
      </c>
    </row>
    <row r="20" spans="1:8" ht="24" customHeight="1" x14ac:dyDescent="0.3">
      <c r="A20" s="450"/>
      <c r="B20" s="217" t="s">
        <v>153</v>
      </c>
      <c r="C20" s="221" t="str">
        <f>VLOOKUP(B20,Tableau16[],8,FALSE)</f>
        <v>Fuga</v>
      </c>
      <c r="D20" s="218">
        <f>VLOOKUP(B20,Tableau16[],14,FALSE)</f>
        <v>26</v>
      </c>
      <c r="E20" s="219">
        <v>0.06</v>
      </c>
      <c r="F20" s="219">
        <v>7.0000000000000007E-2</v>
      </c>
      <c r="G20" s="220" t="str">
        <f>VLOOKUP(B20,Tableau16[],10,FALSE)</f>
        <v>-</v>
      </c>
      <c r="H20" s="218" t="str">
        <f>VLOOKUP(B20,Tableau16[],4,FALSE)</f>
        <v>Qc</v>
      </c>
    </row>
    <row r="21" spans="1:8" ht="24" customHeight="1" x14ac:dyDescent="0.3">
      <c r="A21" s="450"/>
      <c r="B21" s="217" t="s">
        <v>140</v>
      </c>
      <c r="C21" s="221" t="str">
        <f>VLOOKUP(B21,Tableau16[],8,FALSE)</f>
        <v>Redecan</v>
      </c>
      <c r="D21" s="218">
        <f>VLOOKUP(B21,Tableau16[],14,FALSE)</f>
        <v>22.2</v>
      </c>
      <c r="E21" s="219">
        <v>0.06</v>
      </c>
      <c r="F21" s="219">
        <v>0.09</v>
      </c>
      <c r="G21" s="220" t="str">
        <f>VLOOKUP(B21,Tableau16[],10,FALSE)</f>
        <v>- / -</v>
      </c>
      <c r="H21" s="218" t="str">
        <f>VLOOKUP(B21,Tableau16[],4,FALSE)</f>
        <v>-</v>
      </c>
    </row>
    <row r="22" spans="1:8" ht="24" customHeight="1" x14ac:dyDescent="0.3">
      <c r="A22" s="450"/>
      <c r="B22" s="217" t="s">
        <v>154</v>
      </c>
      <c r="C22" s="221" t="str">
        <f>VLOOKUP(B22,Tableau16[],8,FALSE)</f>
        <v>Canna Farms</v>
      </c>
      <c r="D22" s="218">
        <f>VLOOKUP(B22,Tableau16[],14,FALSE)</f>
        <v>30.6</v>
      </c>
      <c r="E22" s="219">
        <v>0.06</v>
      </c>
      <c r="F22" s="219">
        <v>0.1</v>
      </c>
      <c r="G22" s="220" t="str">
        <f>VLOOKUP(B22,Tableau16[],10,FALSE)</f>
        <v>Fruité / Boisé</v>
      </c>
      <c r="H22" s="218" t="str">
        <f>VLOOKUP(B22,Tableau16[],4,FALSE)</f>
        <v>-</v>
      </c>
    </row>
    <row r="23" spans="1:8" ht="24" customHeight="1" x14ac:dyDescent="0.3">
      <c r="A23" s="450"/>
      <c r="B23" s="217" t="s">
        <v>155</v>
      </c>
      <c r="C23" s="221" t="str">
        <f>VLOOKUP(B23,Tableau16[],8,FALSE)</f>
        <v>Color Cannabis</v>
      </c>
      <c r="D23" s="218">
        <f>VLOOKUP(B23,Tableau16[],14,FALSE)</f>
        <v>29.7</v>
      </c>
      <c r="E23" s="219">
        <v>0</v>
      </c>
      <c r="F23" s="219">
        <v>0.08</v>
      </c>
      <c r="G23" s="220" t="str">
        <f>VLOOKUP(B23,Tableau16[],10,FALSE)</f>
        <v>Boisé / Épicé</v>
      </c>
      <c r="H23" s="218" t="str">
        <f>VLOOKUP(B23,Tableau16[],4,FALSE)</f>
        <v>-</v>
      </c>
    </row>
    <row r="24" spans="1:8" ht="24" customHeight="1" x14ac:dyDescent="0.3">
      <c r="A24" s="450"/>
      <c r="B24" s="217" t="s">
        <v>151</v>
      </c>
      <c r="C24" s="221" t="str">
        <f>VLOOKUP(B24,Tableau16[],8,FALSE)</f>
        <v>De La Ferme</v>
      </c>
      <c r="D24" s="218">
        <f>VLOOKUP(B24,Tableau16[],14,FALSE)</f>
        <v>17.3</v>
      </c>
      <c r="E24" s="219">
        <v>0</v>
      </c>
      <c r="F24" s="219">
        <v>0.12</v>
      </c>
      <c r="G24" s="220" t="str">
        <f>VLOOKUP(B24,Tableau16[],10,FALSE)</f>
        <v>Épicé / FLoral</v>
      </c>
      <c r="H24" s="218" t="str">
        <f>VLOOKUP(B24,Tableau16[],4,FALSE)</f>
        <v>Qc</v>
      </c>
    </row>
    <row r="25" spans="1:8" ht="24" customHeight="1" x14ac:dyDescent="0.3">
      <c r="A25" s="450"/>
      <c r="B25" s="217" t="s">
        <v>156</v>
      </c>
      <c r="C25" s="221" t="str">
        <f>VLOOKUP(B25,Tableau16[],8,FALSE)</f>
        <v>Vert</v>
      </c>
      <c r="D25" s="218">
        <f>VLOOKUP(B25,Tableau16[],14,FALSE)</f>
        <v>30.6</v>
      </c>
      <c r="E25" s="219">
        <v>0</v>
      </c>
      <c r="F25" s="219">
        <v>0.12</v>
      </c>
      <c r="G25" s="220" t="str">
        <f>VLOOKUP(B25,Tableau16[],10,FALSE)</f>
        <v>Boisé / Terreux</v>
      </c>
      <c r="H25" s="218" t="str">
        <f>VLOOKUP(B25,Tableau16[],4,FALSE)</f>
        <v>Qc</v>
      </c>
    </row>
    <row r="26" spans="1:8" ht="24" customHeight="1" thickBot="1" x14ac:dyDescent="0.35">
      <c r="A26" s="451"/>
      <c r="B26" s="256" t="s">
        <v>145</v>
      </c>
      <c r="C26" s="257" t="str">
        <f>VLOOKUP(B26,Tableau16[],8,FALSE)</f>
        <v>Canna Farms</v>
      </c>
      <c r="D26" s="258">
        <f>VLOOKUP(B26,Tableau16[],14,FALSE)</f>
        <v>30.6</v>
      </c>
      <c r="E26" s="259">
        <v>0</v>
      </c>
      <c r="F26" s="259">
        <v>0.17</v>
      </c>
      <c r="G26" s="260" t="str">
        <f>VLOOKUP(B26,Tableau16[],10,FALSE)</f>
        <v>Fruité / Boisé</v>
      </c>
      <c r="H26" s="258" t="str">
        <f>VLOOKUP(B26,Tableau16[],4,FALSE)</f>
        <v>-</v>
      </c>
    </row>
    <row r="27" spans="1:8" ht="9.75" customHeight="1" x14ac:dyDescent="0.3">
      <c r="A27" s="183"/>
      <c r="B27" s="170"/>
      <c r="C27" s="169"/>
      <c r="D27" s="171"/>
      <c r="E27" s="172"/>
      <c r="F27" s="172"/>
      <c r="G27" s="169"/>
    </row>
    <row r="28" spans="1:8" ht="19.5" customHeight="1" x14ac:dyDescent="0.3">
      <c r="A28" s="169"/>
      <c r="B28" s="170"/>
      <c r="C28" s="169"/>
      <c r="D28" s="171"/>
      <c r="E28" s="172"/>
      <c r="F28" s="172"/>
      <c r="G28" s="169"/>
    </row>
    <row r="29" spans="1:8" ht="19.5" customHeight="1" x14ac:dyDescent="0.3">
      <c r="A29" s="169"/>
      <c r="B29" s="170"/>
      <c r="C29" s="169"/>
      <c r="D29" s="171"/>
      <c r="E29" s="172"/>
      <c r="F29" s="172"/>
      <c r="G29" s="169"/>
    </row>
    <row r="30" spans="1:8" ht="19.5" customHeight="1" x14ac:dyDescent="0.3">
      <c r="A30" s="169"/>
      <c r="B30" s="170"/>
      <c r="C30" s="169"/>
      <c r="D30" s="171"/>
      <c r="E30" s="172"/>
      <c r="F30" s="172"/>
      <c r="G30" s="169"/>
    </row>
    <row r="31" spans="1:8" ht="19.5" customHeight="1" x14ac:dyDescent="0.3">
      <c r="A31" s="169"/>
      <c r="B31" s="170"/>
      <c r="C31" s="169"/>
      <c r="D31" s="171"/>
      <c r="E31" s="172"/>
      <c r="F31" s="172"/>
      <c r="G31" s="169"/>
    </row>
    <row r="32" spans="1:8" ht="19.5" customHeight="1" x14ac:dyDescent="0.3">
      <c r="A32" s="169"/>
      <c r="B32" s="9"/>
      <c r="C32" s="173"/>
      <c r="D32" s="174"/>
      <c r="E32" s="184"/>
      <c r="F32" s="8"/>
      <c r="G32" s="8"/>
    </row>
    <row r="33" spans="1:7" ht="8.25" customHeight="1" x14ac:dyDescent="0.3">
      <c r="A33" s="4"/>
      <c r="B33" s="61"/>
      <c r="C33" s="61"/>
      <c r="D33" s="61"/>
      <c r="E33" s="61"/>
      <c r="F33" s="61"/>
      <c r="G33" s="61"/>
    </row>
    <row r="34" spans="1:7" ht="39" customHeight="1" x14ac:dyDescent="0.3">
      <c r="A34" s="61"/>
      <c r="B34" s="176"/>
      <c r="C34" s="176"/>
      <c r="D34" s="177"/>
      <c r="E34" s="11"/>
      <c r="F34" s="11"/>
      <c r="G34" s="177"/>
    </row>
    <row r="35" spans="1:7" ht="19.5" customHeight="1" x14ac:dyDescent="0.3">
      <c r="A35" s="175"/>
      <c r="B35" s="170"/>
      <c r="C35" s="170"/>
      <c r="D35" s="171"/>
      <c r="E35" s="179"/>
      <c r="F35" s="172"/>
      <c r="G35" s="169"/>
    </row>
    <row r="36" spans="1:7" ht="19.5" customHeight="1" x14ac:dyDescent="0.3">
      <c r="A36" s="169"/>
      <c r="B36" s="170"/>
      <c r="C36" s="169"/>
      <c r="D36" s="171"/>
      <c r="E36" s="179"/>
      <c r="F36" s="172"/>
      <c r="G36" s="169"/>
    </row>
    <row r="37" spans="1:7" ht="19.5" customHeight="1" x14ac:dyDescent="0.3">
      <c r="A37" s="169"/>
      <c r="B37" s="170"/>
      <c r="C37" s="170"/>
      <c r="D37" s="171"/>
      <c r="E37" s="179"/>
      <c r="F37" s="172"/>
      <c r="G37" s="169"/>
    </row>
    <row r="38" spans="1:7" ht="19.5" customHeight="1" x14ac:dyDescent="0.3">
      <c r="A38" s="169"/>
      <c r="B38" s="170"/>
      <c r="C38" s="170"/>
      <c r="D38" s="171"/>
      <c r="E38" s="179"/>
      <c r="F38" s="172"/>
      <c r="G38" s="169"/>
    </row>
    <row r="39" spans="1:7" ht="19.5" customHeight="1" x14ac:dyDescent="0.3">
      <c r="A39" s="169"/>
      <c r="B39" s="4"/>
      <c r="C39" s="4"/>
      <c r="D39" s="167"/>
      <c r="E39" s="185"/>
      <c r="F39" s="198"/>
      <c r="G39" s="4"/>
    </row>
    <row r="40" spans="1:7" ht="33.75" x14ac:dyDescent="0.3">
      <c r="A40" s="169"/>
      <c r="B40" s="61"/>
      <c r="C40" s="61"/>
      <c r="D40" s="61"/>
      <c r="E40" s="61"/>
      <c r="F40" s="61"/>
      <c r="G40" s="61"/>
    </row>
    <row r="41" spans="1:7" ht="39.75" customHeight="1" x14ac:dyDescent="0.3">
      <c r="A41" s="61"/>
      <c r="B41" s="176"/>
      <c r="C41" s="176"/>
      <c r="D41" s="178"/>
      <c r="E41" s="11"/>
      <c r="F41" s="11"/>
      <c r="G41" s="177"/>
    </row>
    <row r="42" spans="1:7" x14ac:dyDescent="0.3">
      <c r="A42" s="175"/>
      <c r="B42" s="170"/>
      <c r="C42" s="170"/>
      <c r="D42" s="171"/>
      <c r="E42" s="186"/>
      <c r="F42" s="186"/>
      <c r="G42" s="171"/>
    </row>
    <row r="43" spans="1:7" x14ac:dyDescent="0.3">
      <c r="A43" s="169"/>
      <c r="B43" s="170"/>
      <c r="C43" s="170"/>
      <c r="D43" s="180"/>
      <c r="E43" s="179"/>
      <c r="F43" s="172"/>
      <c r="G43" s="171"/>
    </row>
    <row r="44" spans="1:7" x14ac:dyDescent="0.3">
      <c r="A44" s="169"/>
      <c r="B44" s="170"/>
      <c r="C44" s="169"/>
      <c r="D44" s="171"/>
      <c r="E44" s="179"/>
      <c r="F44" s="172"/>
      <c r="G44" s="171"/>
    </row>
    <row r="45" spans="1:7" x14ac:dyDescent="0.3">
      <c r="A45" s="169"/>
      <c r="B45" s="170"/>
      <c r="C45" s="170"/>
      <c r="D45" s="171"/>
      <c r="E45" s="179"/>
      <c r="F45" s="172"/>
      <c r="G45" s="171"/>
    </row>
    <row r="46" spans="1:7" x14ac:dyDescent="0.3">
      <c r="A46" s="169"/>
      <c r="B46" s="4"/>
      <c r="C46" s="4"/>
      <c r="D46" s="167"/>
      <c r="E46" s="185"/>
      <c r="F46" s="198"/>
      <c r="G46" s="4"/>
    </row>
    <row r="47" spans="1:7" x14ac:dyDescent="0.3">
      <c r="A47" s="4"/>
      <c r="B47" s="4"/>
      <c r="C47" s="4"/>
      <c r="D47" s="167"/>
      <c r="E47" s="185"/>
      <c r="F47" s="198"/>
      <c r="G47" s="4"/>
    </row>
    <row r="48" spans="1:7" x14ac:dyDescent="0.3">
      <c r="A48" s="4"/>
      <c r="B48" s="4"/>
      <c r="C48" s="4"/>
      <c r="D48" s="167"/>
      <c r="E48" s="185"/>
      <c r="F48" s="198"/>
      <c r="G48" s="4"/>
    </row>
    <row r="49" spans="1:7" x14ac:dyDescent="0.3">
      <c r="A49" s="4"/>
      <c r="B49" s="4"/>
      <c r="C49" s="4"/>
      <c r="D49" s="167"/>
      <c r="E49" s="185"/>
      <c r="F49" s="198"/>
      <c r="G49" s="4"/>
    </row>
    <row r="50" spans="1:7" x14ac:dyDescent="0.3">
      <c r="A50" s="4"/>
      <c r="B50" s="4"/>
      <c r="C50" s="4"/>
      <c r="D50" s="167"/>
      <c r="E50" s="185"/>
      <c r="F50" s="198"/>
      <c r="G50" s="4"/>
    </row>
    <row r="51" spans="1:7" x14ac:dyDescent="0.3">
      <c r="A51" s="4"/>
      <c r="B51" s="4"/>
      <c r="C51" s="4"/>
      <c r="D51" s="167"/>
      <c r="E51" s="185"/>
      <c r="F51" s="198"/>
      <c r="G51" s="4"/>
    </row>
    <row r="52" spans="1:7" x14ac:dyDescent="0.3">
      <c r="A52" s="4"/>
      <c r="B52" s="4"/>
      <c r="C52" s="6"/>
      <c r="D52" s="166"/>
      <c r="E52" s="181"/>
      <c r="F52" s="181"/>
      <c r="G52" s="5"/>
    </row>
    <row r="53" spans="1:7" x14ac:dyDescent="0.3">
      <c r="A53" s="4"/>
    </row>
  </sheetData>
  <sheetProtection formatCells="0" formatColumns="0" formatRows="0" insertColumns="0" insertRows="0" insertHyperlinks="0" deleteColumns="0" deleteRows="0" sort="0" autoFilter="0" pivotTables="0"/>
  <mergeCells count="4">
    <mergeCell ref="A2:H2"/>
    <mergeCell ref="A3:A5"/>
    <mergeCell ref="A7:A10"/>
    <mergeCell ref="A12:A26"/>
  </mergeCells>
  <conditionalFormatting sqref="C52:C1048576 C1">
    <cfRule type="cellIs" dxfId="5" priority="1" operator="equal">
      <formula>0</formula>
    </cfRule>
  </conditionalFormatting>
  <dataValidations count="2">
    <dataValidation type="list" allowBlank="1" showInputMessage="1" showErrorMessage="1" sqref="B1:C1" xr:uid="{38059001-1DEA-4814-B6D5-DA0402909F86}">
      <formula1>hybride1</formula1>
    </dataValidation>
    <dataValidation type="list" allowBlank="1" showInputMessage="1" showErrorMessage="1" sqref="C36:C38 C42:C45" xr:uid="{114649D1-7B8C-438E-9D57-22CFE80C971E}">
      <formula1>#REF!</formula1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scale="65" orientation="landscape" cellComments="atEnd" r:id="rId1"/>
  <headerFooter differentOddEven="1">
    <oddFooter>&amp;R&amp;D</oddFoot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outon 2">
              <controlPr defaultSize="0" print="0" autoFill="0" autoPict="0" macro="[0]!tri_77096" altText="Ajouter ligne">
                <anchor moveWithCells="1">
                  <from>
                    <xdr:col>0</xdr:col>
                    <xdr:colOff>123825</xdr:colOff>
                    <xdr:row>1</xdr:row>
                    <xdr:rowOff>19050</xdr:rowOff>
                  </from>
                  <to>
                    <xdr:col>1</xdr:col>
                    <xdr:colOff>1171575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ajoutligne" altText="Ajouter ligne">
                <anchor moveWithCells="1"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7</xdr:col>
                    <xdr:colOff>1562100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_77090" altText="Ajouter ligne">
                <anchor moveWithCells="1">
                  <from>
                    <xdr:col>5</xdr:col>
                    <xdr:colOff>628650</xdr:colOff>
                    <xdr:row>1</xdr:row>
                    <xdr:rowOff>47625</xdr:rowOff>
                  </from>
                  <to>
                    <xdr:col>7</xdr:col>
                    <xdr:colOff>95250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695D4D-3B8E-4376-A167-F0CF7AF195AA}">
          <x14:formula1>
            <xm:f>'Base données formats'!$A$21:$A$69</xm:f>
          </x14:formula1>
          <xm:sqref>B13:B26</xm:sqref>
        </x14:dataValidation>
        <x14:dataValidation type="list" allowBlank="1" showInputMessage="1" showErrorMessage="1" xr:uid="{F65970F8-3D23-4D90-92BF-952295E05951}">
          <x14:formula1>
            <xm:f>'Base données formats'!$A$16:$A$17</xm:f>
          </x14:formula1>
          <xm:sqref>B4:B5</xm:sqref>
        </x14:dataValidation>
        <x14:dataValidation type="list" allowBlank="1" showInputMessage="1" showErrorMessage="1" xr:uid="{965A2AE0-EA89-4EC7-B1CF-F26351C9D931}">
          <x14:formula1>
            <xm:f>'Base données formats'!$A$4:$A$12</xm:f>
          </x14:formula1>
          <xm:sqref>B8:B11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D070-C42C-4004-998E-2B1544A4C8E3}">
  <sheetPr codeName="Feuil1"/>
  <dimension ref="A2:N69"/>
  <sheetViews>
    <sheetView topLeftCell="A22" workbookViewId="0">
      <selection activeCell="F35" sqref="F35"/>
    </sheetView>
  </sheetViews>
  <sheetFormatPr baseColWidth="10" defaultColWidth="9.140625" defaultRowHeight="12.75" x14ac:dyDescent="0.2"/>
  <cols>
    <col min="1" max="1" width="42" style="163" bestFit="1" customWidth="1"/>
    <col min="2" max="2" width="28.5703125" style="163" customWidth="1"/>
    <col min="3" max="3" width="21.28515625" style="163" customWidth="1"/>
    <col min="4" max="4" width="19.7109375" style="163" customWidth="1"/>
    <col min="5" max="5" width="12" style="163" bestFit="1" customWidth="1"/>
    <col min="6" max="6" width="24.42578125" style="163" customWidth="1"/>
    <col min="7" max="7" width="21.7109375" style="163" bestFit="1" customWidth="1"/>
    <col min="8" max="8" width="18.140625" style="163" bestFit="1" customWidth="1"/>
    <col min="9" max="9" width="22.42578125" style="163" bestFit="1" customWidth="1"/>
    <col min="10" max="10" width="12" style="163" bestFit="1" customWidth="1"/>
    <col min="11" max="11" width="10" style="163" bestFit="1" customWidth="1"/>
    <col min="12" max="16384" width="9.140625" style="163"/>
  </cols>
  <sheetData>
    <row r="2" spans="1:14" ht="15" customHeight="1" x14ac:dyDescent="0.2">
      <c r="A2" s="470"/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</row>
    <row r="3" spans="1:14" x14ac:dyDescent="0.2">
      <c r="A3" s="165" t="s">
        <v>167</v>
      </c>
      <c r="B3" s="165" t="s">
        <v>168</v>
      </c>
      <c r="C3" s="165" t="s">
        <v>169</v>
      </c>
      <c r="D3" s="165" t="s">
        <v>170</v>
      </c>
      <c r="E3" s="165" t="s">
        <v>171</v>
      </c>
      <c r="F3" s="165" t="s">
        <v>172</v>
      </c>
      <c r="G3" s="165" t="s">
        <v>173</v>
      </c>
      <c r="H3" s="165" t="s">
        <v>4</v>
      </c>
      <c r="I3" s="165" t="s">
        <v>174</v>
      </c>
      <c r="J3" s="165" t="s">
        <v>122</v>
      </c>
      <c r="K3" s="165" t="s">
        <v>175</v>
      </c>
      <c r="L3" s="165" t="s">
        <v>176</v>
      </c>
      <c r="M3" s="165" t="s">
        <v>5</v>
      </c>
      <c r="N3" s="165" t="s">
        <v>6</v>
      </c>
    </row>
    <row r="4" spans="1:14" x14ac:dyDescent="0.2">
      <c r="A4" s="163" t="s">
        <v>87</v>
      </c>
      <c r="B4" s="163" t="s">
        <v>87</v>
      </c>
      <c r="C4" s="194" t="s">
        <v>87</v>
      </c>
      <c r="D4" s="163" t="s">
        <v>87</v>
      </c>
      <c r="E4" s="163" t="s">
        <v>87</v>
      </c>
      <c r="F4" s="163" t="s">
        <v>87</v>
      </c>
      <c r="G4" s="163" t="s">
        <v>87</v>
      </c>
      <c r="H4" s="163" t="s">
        <v>87</v>
      </c>
      <c r="I4" s="163" t="s">
        <v>87</v>
      </c>
      <c r="J4" s="163" t="s">
        <v>87</v>
      </c>
      <c r="K4" s="195" t="s">
        <v>87</v>
      </c>
    </row>
    <row r="5" spans="1:14" ht="15" x14ac:dyDescent="0.25">
      <c r="A5" s="163" t="str">
        <f>IF(Tableau14[[#This Row],[Nom produit]]=Tableau14[[#This Row],[Variété]],Tableau14[[#This Row],[Nom produit]],_xlfn.CONCAT(Tableau14[[#This Row],[Nom produit]]," - ", Tableau14[[#This Row],[Variété]]))</f>
        <v>Apples &amp; Cream - Apples and Cream</v>
      </c>
      <c r="B5" t="s">
        <v>177</v>
      </c>
      <c r="C5" t="s">
        <v>178</v>
      </c>
      <c r="D5" t="s">
        <v>87</v>
      </c>
      <c r="E5" t="s">
        <v>125</v>
      </c>
      <c r="F5" t="s">
        <v>87</v>
      </c>
      <c r="G5" t="s">
        <v>179</v>
      </c>
      <c r="H5" t="s">
        <v>180</v>
      </c>
      <c r="I5" t="s">
        <v>181</v>
      </c>
      <c r="J5" t="str">
        <f t="shared" ref="J5:J12" si="0">_xlfn.CONCAT(K5," ","/"," ",L5)</f>
        <v>Fruité / Sucré</v>
      </c>
      <c r="K5" t="s">
        <v>182</v>
      </c>
      <c r="L5" s="163" t="s">
        <v>183</v>
      </c>
      <c r="M5" s="163" t="s">
        <v>184</v>
      </c>
      <c r="N5" s="163">
        <v>22.9</v>
      </c>
    </row>
    <row r="6" spans="1:14" ht="15" x14ac:dyDescent="0.25">
      <c r="A6" s="163" t="str">
        <f>IF(Tableau14[[#This Row],[Nom produit]]=Tableau14[[#This Row],[Variété]],Tableau14[[#This Row],[Nom produit]],_xlfn.CONCAT(Tableau14[[#This Row],[Nom produit]]," - ", Tableau14[[#This Row],[Variété]]))</f>
        <v>Colorado Cherry</v>
      </c>
      <c r="B6" t="s">
        <v>185</v>
      </c>
      <c r="C6" t="s">
        <v>186</v>
      </c>
      <c r="D6" t="s">
        <v>187</v>
      </c>
      <c r="E6" t="s">
        <v>125</v>
      </c>
      <c r="F6" t="s">
        <v>87</v>
      </c>
      <c r="G6" t="s">
        <v>185</v>
      </c>
      <c r="H6" t="s">
        <v>188</v>
      </c>
      <c r="I6" t="s">
        <v>189</v>
      </c>
      <c r="J6" t="str">
        <f t="shared" si="0"/>
        <v>Sucré / Épicé</v>
      </c>
      <c r="K6" t="s">
        <v>183</v>
      </c>
      <c r="L6" s="163" t="s">
        <v>190</v>
      </c>
      <c r="M6" s="163" t="s">
        <v>184</v>
      </c>
      <c r="N6" s="163">
        <v>24.9</v>
      </c>
    </row>
    <row r="7" spans="1:14" ht="15" x14ac:dyDescent="0.25">
      <c r="A7" s="163" t="str">
        <f>IF(Tableau14[[#This Row],[Nom produit]]=Tableau14[[#This Row],[Variété]],Tableau14[[#This Row],[Nom produit]],_xlfn.CONCAT(Tableau14[[#This Row],[Nom produit]]," - ", Tableau14[[#This Row],[Variété]]))</f>
        <v>Dancehall</v>
      </c>
      <c r="B7" t="s">
        <v>191</v>
      </c>
      <c r="C7" t="s">
        <v>192</v>
      </c>
      <c r="D7" t="s">
        <v>87</v>
      </c>
      <c r="E7" t="s">
        <v>125</v>
      </c>
      <c r="F7" t="s">
        <v>87</v>
      </c>
      <c r="G7" t="s">
        <v>191</v>
      </c>
      <c r="H7" t="s">
        <v>193</v>
      </c>
      <c r="I7" t="s">
        <v>181</v>
      </c>
      <c r="J7" t="str">
        <f t="shared" si="0"/>
        <v>Sucré / Épicé</v>
      </c>
      <c r="K7" t="s">
        <v>183</v>
      </c>
      <c r="L7" s="163" t="s">
        <v>190</v>
      </c>
      <c r="M7" s="163" t="s">
        <v>184</v>
      </c>
      <c r="N7" s="163">
        <v>27</v>
      </c>
    </row>
    <row r="8" spans="1:14" ht="15" x14ac:dyDescent="0.25">
      <c r="A8" s="163" t="str">
        <f>IF(Tableau14[[#This Row],[Nom produit]]=Tableau14[[#This Row],[Variété]],Tableau14[[#This Row],[Nom produit]],_xlfn.CONCAT(Tableau14[[#This Row],[Nom produit]]," - ", Tableau14[[#This Row],[Variété]]))</f>
        <v>Libérer - Treasure Island</v>
      </c>
      <c r="B8" t="s">
        <v>27</v>
      </c>
      <c r="C8" t="s">
        <v>194</v>
      </c>
      <c r="D8" t="s">
        <v>87</v>
      </c>
      <c r="E8" t="s">
        <v>125</v>
      </c>
      <c r="F8" t="s">
        <v>87</v>
      </c>
      <c r="G8" t="s">
        <v>195</v>
      </c>
      <c r="H8" t="s">
        <v>196</v>
      </c>
      <c r="I8" t="s">
        <v>197</v>
      </c>
      <c r="J8" t="str">
        <f t="shared" si="0"/>
        <v>Mouffette / Épicé</v>
      </c>
      <c r="K8" t="s">
        <v>198</v>
      </c>
      <c r="L8" s="163" t="s">
        <v>190</v>
      </c>
      <c r="M8" s="163" t="s">
        <v>184</v>
      </c>
      <c r="N8" s="163">
        <v>27</v>
      </c>
    </row>
    <row r="9" spans="1:14" ht="15" x14ac:dyDescent="0.25">
      <c r="A9" s="163" t="str">
        <f>IF(Tableau14[[#This Row],[Nom produit]]=Tableau14[[#This Row],[Variété]],Tableau14[[#This Row],[Nom produit]],_xlfn.CONCAT(Tableau14[[#This Row],[Nom produit]]," - ", Tableau14[[#This Row],[Variété]]))</f>
        <v>Painted Lady</v>
      </c>
      <c r="B9" t="s">
        <v>157</v>
      </c>
      <c r="D9" t="s">
        <v>187</v>
      </c>
      <c r="E9" t="s">
        <v>125</v>
      </c>
      <c r="F9" s="163" t="s">
        <v>87</v>
      </c>
      <c r="G9" t="s">
        <v>157</v>
      </c>
      <c r="H9" t="s">
        <v>199</v>
      </c>
      <c r="I9" t="s">
        <v>181</v>
      </c>
      <c r="J9" t="str">
        <f t="shared" si="0"/>
        <v>Épicé / Boisé</v>
      </c>
      <c r="K9" t="s">
        <v>190</v>
      </c>
      <c r="L9" t="s">
        <v>200</v>
      </c>
      <c r="M9" s="163" t="s">
        <v>184</v>
      </c>
      <c r="N9" s="280">
        <v>27.5</v>
      </c>
    </row>
    <row r="10" spans="1:14" ht="15" x14ac:dyDescent="0.25">
      <c r="A10" s="163" t="str">
        <f>IF(Tableau14[[#This Row],[Nom produit]]=Tableau14[[#This Row],[Variété]],Tableau14[[#This Row],[Nom produit]],_xlfn.CONCAT(Tableau14[[#This Row],[Nom produit]]," - ", Tableau14[[#This Row],[Variété]]))</f>
        <v>Rêve Lucide - Charlotte's Dream</v>
      </c>
      <c r="B10" t="s">
        <v>201</v>
      </c>
      <c r="D10" t="s">
        <v>187</v>
      </c>
      <c r="E10" t="s">
        <v>125</v>
      </c>
      <c r="F10" s="163" t="s">
        <v>87</v>
      </c>
      <c r="G10" t="s">
        <v>202</v>
      </c>
      <c r="H10" t="s">
        <v>203</v>
      </c>
      <c r="I10" t="s">
        <v>181</v>
      </c>
      <c r="J10" t="str">
        <f t="shared" si="0"/>
        <v>Boisé / Citronné</v>
      </c>
      <c r="K10" t="s">
        <v>200</v>
      </c>
      <c r="L10" t="s">
        <v>204</v>
      </c>
      <c r="M10" s="163" t="s">
        <v>184</v>
      </c>
      <c r="N10" s="280">
        <v>26.9</v>
      </c>
    </row>
    <row r="11" spans="1:14" ht="15" x14ac:dyDescent="0.25">
      <c r="A11" s="163" t="str">
        <f>IF(Tableau14[[#This Row],[Nom produit]]=Tableau14[[#This Row],[Variété]],Tableau14[[#This Row],[Nom produit]],_xlfn.CONCAT(Tableau14[[#This Row],[Nom produit]]," - ", Tableau14[[#This Row],[Variété]]))</f>
        <v>Super Lemon Haze Biologique</v>
      </c>
      <c r="B11" s="163" t="s">
        <v>126</v>
      </c>
      <c r="C11" s="163">
        <v>628693095044</v>
      </c>
      <c r="D11" s="163" t="s">
        <v>187</v>
      </c>
      <c r="E11" s="163" t="s">
        <v>125</v>
      </c>
      <c r="F11" s="163" t="s">
        <v>87</v>
      </c>
      <c r="G11" s="163" t="s">
        <v>126</v>
      </c>
      <c r="H11" s="163" t="s">
        <v>205</v>
      </c>
      <c r="I11" s="163" t="s">
        <v>181</v>
      </c>
      <c r="J11" t="str">
        <f t="shared" si="0"/>
        <v>Citronné / Sucré</v>
      </c>
      <c r="K11" s="164" t="s">
        <v>204</v>
      </c>
      <c r="L11" s="163" t="s">
        <v>183</v>
      </c>
      <c r="M11" s="163" t="s">
        <v>184</v>
      </c>
      <c r="N11" s="163">
        <v>33.9</v>
      </c>
    </row>
    <row r="12" spans="1:14" ht="15" x14ac:dyDescent="0.25">
      <c r="A12" s="163" t="str">
        <f>IF(Tableau14[[#This Row],[Nom produit]]=Tableau14[[#This Row],[Variété]],Tableau14[[#This Row],[Nom produit]],_xlfn.CONCAT(Tableau14[[#This Row],[Nom produit]]," - ", Tableau14[[#This Row],[Variété]]))</f>
        <v>Superfleur Équilibrée 1:1 - Super Lemon Haze</v>
      </c>
      <c r="B12" t="s">
        <v>206</v>
      </c>
      <c r="D12" t="s">
        <v>87</v>
      </c>
      <c r="E12" t="s">
        <v>125</v>
      </c>
      <c r="F12" s="163" t="s">
        <v>87</v>
      </c>
      <c r="G12" t="s">
        <v>207</v>
      </c>
      <c r="H12" t="s">
        <v>208</v>
      </c>
      <c r="I12" t="s">
        <v>209</v>
      </c>
      <c r="J12" t="str">
        <f t="shared" si="0"/>
        <v>Citronné / Fruité</v>
      </c>
      <c r="K12" t="s">
        <v>204</v>
      </c>
      <c r="L12" t="s">
        <v>182</v>
      </c>
      <c r="M12" s="163" t="s">
        <v>184</v>
      </c>
      <c r="N12" s="280">
        <v>28.1</v>
      </c>
    </row>
    <row r="13" spans="1:14" x14ac:dyDescent="0.2">
      <c r="K13" s="164"/>
    </row>
    <row r="14" spans="1:14" ht="14.25" x14ac:dyDescent="0.2">
      <c r="A14" s="469"/>
      <c r="B14" s="469"/>
      <c r="C14" s="469"/>
      <c r="D14" s="469"/>
      <c r="E14" s="469"/>
      <c r="F14" s="469"/>
      <c r="G14" s="469"/>
      <c r="H14" s="469"/>
      <c r="I14" s="469"/>
      <c r="J14" s="469"/>
      <c r="K14" s="469"/>
      <c r="L14" s="469"/>
      <c r="M14" s="469"/>
      <c r="N14" s="469"/>
    </row>
    <row r="15" spans="1:14" x14ac:dyDescent="0.2">
      <c r="A15" s="165" t="s">
        <v>167</v>
      </c>
      <c r="B15" s="165" t="s">
        <v>168</v>
      </c>
      <c r="C15" s="165" t="s">
        <v>169</v>
      </c>
      <c r="D15" s="165" t="s">
        <v>170</v>
      </c>
      <c r="E15" s="165" t="s">
        <v>171</v>
      </c>
      <c r="F15" s="165" t="s">
        <v>172</v>
      </c>
      <c r="G15" s="165" t="s">
        <v>173</v>
      </c>
      <c r="H15" s="165" t="s">
        <v>4</v>
      </c>
      <c r="I15" s="165" t="s">
        <v>174</v>
      </c>
      <c r="J15" s="165" t="s">
        <v>122</v>
      </c>
      <c r="K15" s="165" t="s">
        <v>175</v>
      </c>
      <c r="L15" s="165" t="s">
        <v>176</v>
      </c>
      <c r="M15" s="165" t="s">
        <v>5</v>
      </c>
      <c r="N15" s="165" t="s">
        <v>6</v>
      </c>
    </row>
    <row r="16" spans="1:14" x14ac:dyDescent="0.2">
      <c r="A16" s="163" t="s">
        <v>87</v>
      </c>
      <c r="B16" s="163" t="s">
        <v>87</v>
      </c>
      <c r="C16" s="194" t="s">
        <v>87</v>
      </c>
      <c r="D16" s="163" t="s">
        <v>87</v>
      </c>
      <c r="E16" s="163" t="s">
        <v>87</v>
      </c>
      <c r="F16" s="163" t="s">
        <v>87</v>
      </c>
      <c r="G16" s="163" t="s">
        <v>87</v>
      </c>
      <c r="H16" s="163" t="s">
        <v>87</v>
      </c>
      <c r="I16" s="163" t="s">
        <v>87</v>
      </c>
      <c r="J16" s="163" t="s">
        <v>87</v>
      </c>
      <c r="K16" s="195" t="s">
        <v>87</v>
      </c>
    </row>
    <row r="17" spans="1:14" ht="15" x14ac:dyDescent="0.25">
      <c r="A17" s="163" t="str">
        <f>IF(Tableau15[[#This Row],[Nom produit]]=Tableau15[[#This Row],[Variété]],Tableau15[[#This Row],[Nom produit]],_xlfn.CONCAT(Tableau15[[#This Row],[Nom produit]]," - ", Tableau15[[#This Row],[Variété]]))</f>
        <v>CBD OG Kush</v>
      </c>
      <c r="B17" t="s">
        <v>124</v>
      </c>
      <c r="C17" t="s">
        <v>210</v>
      </c>
      <c r="D17" t="s">
        <v>187</v>
      </c>
      <c r="E17" t="s">
        <v>121</v>
      </c>
      <c r="F17" t="s">
        <v>87</v>
      </c>
      <c r="G17" t="s">
        <v>124</v>
      </c>
      <c r="H17" t="s">
        <v>211</v>
      </c>
      <c r="I17" t="s">
        <v>209</v>
      </c>
      <c r="J17" t="str">
        <f>_xlfn.CONCAT(K17," ","/"," ",L17)</f>
        <v>Épicé / Fruité</v>
      </c>
      <c r="K17" t="s">
        <v>190</v>
      </c>
      <c r="L17" s="163" t="s">
        <v>182</v>
      </c>
      <c r="M17" s="163" t="s">
        <v>184</v>
      </c>
      <c r="N17" s="163">
        <v>27</v>
      </c>
    </row>
    <row r="18" spans="1:14" x14ac:dyDescent="0.2">
      <c r="K18" s="164"/>
    </row>
    <row r="19" spans="1:14" ht="14.25" x14ac:dyDescent="0.2">
      <c r="A19" s="468"/>
      <c r="B19" s="468"/>
      <c r="C19" s="468"/>
      <c r="D19" s="468"/>
      <c r="E19" s="468"/>
      <c r="F19" s="468"/>
      <c r="G19" s="468"/>
      <c r="H19" s="468"/>
      <c r="I19" s="468"/>
      <c r="J19" s="468"/>
      <c r="K19" s="468"/>
      <c r="L19" s="468"/>
      <c r="M19" s="468"/>
      <c r="N19" s="468"/>
    </row>
    <row r="20" spans="1:14" x14ac:dyDescent="0.2">
      <c r="A20" s="165" t="s">
        <v>167</v>
      </c>
      <c r="B20" s="165" t="s">
        <v>168</v>
      </c>
      <c r="C20" s="165" t="s">
        <v>169</v>
      </c>
      <c r="D20" s="165" t="s">
        <v>170</v>
      </c>
      <c r="E20" s="165" t="s">
        <v>171</v>
      </c>
      <c r="F20" s="165" t="s">
        <v>172</v>
      </c>
      <c r="G20" s="165" t="s">
        <v>173</v>
      </c>
      <c r="H20" s="165" t="s">
        <v>4</v>
      </c>
      <c r="I20" s="165" t="s">
        <v>174</v>
      </c>
      <c r="J20" s="165" t="s">
        <v>122</v>
      </c>
      <c r="K20" s="165" t="s">
        <v>175</v>
      </c>
      <c r="L20" s="165" t="s">
        <v>176</v>
      </c>
      <c r="M20" s="165" t="s">
        <v>5</v>
      </c>
      <c r="N20" s="165" t="s">
        <v>6</v>
      </c>
    </row>
    <row r="21" spans="1:14" x14ac:dyDescent="0.2">
      <c r="A21" s="208" t="s">
        <v>87</v>
      </c>
      <c r="B21" s="208" t="s">
        <v>87</v>
      </c>
      <c r="C21" s="207" t="s">
        <v>87</v>
      </c>
      <c r="D21" s="208" t="s">
        <v>87</v>
      </c>
      <c r="E21" s="208" t="s">
        <v>87</v>
      </c>
      <c r="F21" s="208" t="s">
        <v>87</v>
      </c>
      <c r="G21" s="208" t="s">
        <v>87</v>
      </c>
      <c r="H21" s="208" t="s">
        <v>87</v>
      </c>
      <c r="I21" s="208" t="s">
        <v>87</v>
      </c>
      <c r="J21" s="208" t="s">
        <v>87</v>
      </c>
      <c r="K21" s="209" t="s">
        <v>87</v>
      </c>
      <c r="L21" s="208"/>
      <c r="M21" s="208"/>
      <c r="N21" s="208"/>
    </row>
    <row r="22" spans="1:14" ht="15" x14ac:dyDescent="0.25">
      <c r="A22" s="208" t="str">
        <f>IF(Tableau16[[#This Row],[Nom produit]]=Tableau16[[#This Row],[Variété]],Tableau16[[#This Row],[Nom produit]],Tableau16[[#This Row],[Nom produit]])</f>
        <v>*Bientôt Retiré | CBD Charlotte Angel Biologique</v>
      </c>
      <c r="B22" s="208" t="s">
        <v>212</v>
      </c>
      <c r="C22" s="208">
        <v>628693095051</v>
      </c>
      <c r="D22" s="208" t="s">
        <v>187</v>
      </c>
      <c r="E22" s="208" t="s">
        <v>129</v>
      </c>
      <c r="F22" s="208" t="s">
        <v>125</v>
      </c>
      <c r="G22" s="208" t="s">
        <v>213</v>
      </c>
      <c r="H22" s="208" t="s">
        <v>205</v>
      </c>
      <c r="I22" s="208" t="s">
        <v>181</v>
      </c>
      <c r="J22" t="str">
        <f t="shared" ref="J22:J34" si="1">_xlfn.CONCAT(K22," ","/"," ",L22)</f>
        <v>Terreux / Sucré</v>
      </c>
      <c r="K22" s="212" t="s">
        <v>214</v>
      </c>
      <c r="L22" s="208" t="s">
        <v>183</v>
      </c>
      <c r="M22" s="208" t="s">
        <v>184</v>
      </c>
      <c r="N22" s="208">
        <v>28.9</v>
      </c>
    </row>
    <row r="23" spans="1:14" ht="15" x14ac:dyDescent="0.25">
      <c r="A23" s="208" t="str">
        <f>IF(Tableau16[[#This Row],[Nom produit]]=Tableau16[[#This Row],[Variété]],Tableau16[[#This Row],[Nom produit]],Tableau16[[#This Row],[Nom produit]])</f>
        <v>*Bientôt Retiré | Oregon Coast CBD</v>
      </c>
      <c r="B23" t="s">
        <v>215</v>
      </c>
      <c r="C23" t="s">
        <v>216</v>
      </c>
      <c r="D23" t="s">
        <v>187</v>
      </c>
      <c r="E23" t="s">
        <v>129</v>
      </c>
      <c r="F23" t="s">
        <v>87</v>
      </c>
      <c r="G23" t="s">
        <v>217</v>
      </c>
      <c r="H23" t="s">
        <v>218</v>
      </c>
      <c r="I23" t="s">
        <v>189</v>
      </c>
      <c r="J23" t="str">
        <f t="shared" si="1"/>
        <v>Épicé / Floral</v>
      </c>
      <c r="K23" t="s">
        <v>190</v>
      </c>
      <c r="L23" s="208" t="s">
        <v>219</v>
      </c>
      <c r="M23" s="208" t="s">
        <v>184</v>
      </c>
      <c r="N23" s="208">
        <v>22</v>
      </c>
    </row>
    <row r="24" spans="1:14" ht="15" x14ac:dyDescent="0.25">
      <c r="A24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ACDC (Indica)</v>
      </c>
      <c r="B24" t="s">
        <v>220</v>
      </c>
      <c r="C24" t="s">
        <v>221</v>
      </c>
      <c r="D24" t="s">
        <v>87</v>
      </c>
      <c r="E24" t="s">
        <v>129</v>
      </c>
      <c r="F24" t="s">
        <v>121</v>
      </c>
      <c r="G24" t="s">
        <v>220</v>
      </c>
      <c r="H24" t="s">
        <v>222</v>
      </c>
      <c r="I24" t="s">
        <v>181</v>
      </c>
      <c r="J24" t="str">
        <f t="shared" si="1"/>
        <v>Terreux / Citronné</v>
      </c>
      <c r="K24" t="s">
        <v>214</v>
      </c>
      <c r="L24" s="208" t="s">
        <v>204</v>
      </c>
      <c r="M24" s="208" t="s">
        <v>184</v>
      </c>
      <c r="N24" s="208">
        <v>27</v>
      </c>
    </row>
    <row r="25" spans="1:14" ht="15" x14ac:dyDescent="0.25">
      <c r="A25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Apricot Cream X Cheese 1:1 (Sativa)</v>
      </c>
      <c r="B25" s="208" t="s">
        <v>223</v>
      </c>
      <c r="C25" s="208"/>
      <c r="D25" s="208" t="s">
        <v>187</v>
      </c>
      <c r="E25" s="208" t="s">
        <v>129</v>
      </c>
      <c r="F25" s="208" t="s">
        <v>125</v>
      </c>
      <c r="G25" s="208" t="s">
        <v>223</v>
      </c>
      <c r="H25" s="208" t="s">
        <v>224</v>
      </c>
      <c r="I25" s="208"/>
      <c r="J25" t="str">
        <f t="shared" si="1"/>
        <v>Fruité / Floral</v>
      </c>
      <c r="K25" s="212" t="s">
        <v>182</v>
      </c>
      <c r="L25" s="208" t="s">
        <v>219</v>
      </c>
      <c r="M25" s="208" t="s">
        <v>184</v>
      </c>
      <c r="N25" s="208">
        <v>29.9</v>
      </c>
    </row>
    <row r="26" spans="1:14" ht="15" x14ac:dyDescent="0.25">
      <c r="A26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BC Canna Bliss</v>
      </c>
      <c r="B26" t="s">
        <v>145</v>
      </c>
      <c r="C26" t="s">
        <v>225</v>
      </c>
      <c r="D26" t="s">
        <v>87</v>
      </c>
      <c r="E26" t="s">
        <v>129</v>
      </c>
      <c r="F26" t="s">
        <v>87</v>
      </c>
      <c r="G26" t="s">
        <v>145</v>
      </c>
      <c r="H26" t="s">
        <v>226</v>
      </c>
      <c r="I26" t="s">
        <v>181</v>
      </c>
      <c r="J26" t="str">
        <f t="shared" si="1"/>
        <v>Fruité / Boisé</v>
      </c>
      <c r="K26" t="s">
        <v>182</v>
      </c>
      <c r="L26" s="208" t="s">
        <v>200</v>
      </c>
      <c r="M26" s="208" t="s">
        <v>184</v>
      </c>
      <c r="N26" s="208">
        <v>30.6</v>
      </c>
    </row>
    <row r="27" spans="1:14" ht="15" x14ac:dyDescent="0.25">
      <c r="A27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BC CBD Critical Mass (Indica)</v>
      </c>
      <c r="B27" t="s">
        <v>227</v>
      </c>
      <c r="C27" t="s">
        <v>228</v>
      </c>
      <c r="D27" t="s">
        <v>87</v>
      </c>
      <c r="E27" t="s">
        <v>129</v>
      </c>
      <c r="F27" t="s">
        <v>121</v>
      </c>
      <c r="G27" t="s">
        <v>227</v>
      </c>
      <c r="H27" t="s">
        <v>226</v>
      </c>
      <c r="I27" t="s">
        <v>197</v>
      </c>
      <c r="J27" t="str">
        <f t="shared" si="1"/>
        <v>Fruité / Boisé</v>
      </c>
      <c r="K27" t="s">
        <v>182</v>
      </c>
      <c r="L27" s="208" t="s">
        <v>200</v>
      </c>
      <c r="M27" s="208" t="s">
        <v>184</v>
      </c>
      <c r="N27" s="208">
        <v>30.6</v>
      </c>
    </row>
    <row r="28" spans="1:14" ht="15" x14ac:dyDescent="0.25">
      <c r="A28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BC Harlequin Biologique - Harlequin (Sativa)</v>
      </c>
      <c r="B28" s="208" t="s">
        <v>229</v>
      </c>
      <c r="C28" s="208">
        <v>688318003526</v>
      </c>
      <c r="D28" s="208" t="s">
        <v>87</v>
      </c>
      <c r="E28" s="208" t="s">
        <v>129</v>
      </c>
      <c r="F28" s="208" t="s">
        <v>125</v>
      </c>
      <c r="G28" s="208" t="s">
        <v>230</v>
      </c>
      <c r="H28" s="208" t="s">
        <v>231</v>
      </c>
      <c r="I28" s="208" t="s">
        <v>181</v>
      </c>
      <c r="J28" t="str">
        <f t="shared" si="1"/>
        <v>Terreux / Sucré</v>
      </c>
      <c r="K28" s="212" t="s">
        <v>214</v>
      </c>
      <c r="L28" s="208" t="s">
        <v>183</v>
      </c>
      <c r="M28" s="208" t="s">
        <v>184</v>
      </c>
      <c r="N28" s="208">
        <v>42.8</v>
      </c>
    </row>
    <row r="29" spans="1:14" ht="15" x14ac:dyDescent="0.25">
      <c r="A29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Cannatonic</v>
      </c>
      <c r="B29" t="s">
        <v>144</v>
      </c>
      <c r="C29" t="s">
        <v>232</v>
      </c>
      <c r="D29" t="s">
        <v>87</v>
      </c>
      <c r="E29" t="s">
        <v>129</v>
      </c>
      <c r="F29" t="s">
        <v>87</v>
      </c>
      <c r="G29" t="s">
        <v>144</v>
      </c>
      <c r="H29" t="s">
        <v>233</v>
      </c>
      <c r="I29" t="s">
        <v>181</v>
      </c>
      <c r="J29" t="str">
        <f t="shared" si="1"/>
        <v>Fruité / Floral</v>
      </c>
      <c r="K29" t="s">
        <v>182</v>
      </c>
      <c r="L29" s="208" t="s">
        <v>219</v>
      </c>
      <c r="M29" s="208" t="s">
        <v>184</v>
      </c>
      <c r="N29" s="208">
        <v>21.4</v>
      </c>
    </row>
    <row r="30" spans="1:14" ht="15" x14ac:dyDescent="0.25">
      <c r="A30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CBD Charlotte Angel Biologique (Sativa)</v>
      </c>
      <c r="B30" s="208" t="s">
        <v>234</v>
      </c>
      <c r="C30" s="208">
        <v>628693095051</v>
      </c>
      <c r="D30" s="208" t="s">
        <v>187</v>
      </c>
      <c r="E30" t="s">
        <v>129</v>
      </c>
      <c r="F30" s="208" t="s">
        <v>125</v>
      </c>
      <c r="G30" s="208" t="s">
        <v>234</v>
      </c>
      <c r="H30" s="208" t="s">
        <v>205</v>
      </c>
      <c r="I30" s="208" t="s">
        <v>181</v>
      </c>
      <c r="J30" t="str">
        <f t="shared" si="1"/>
        <v>Terreux / Sucré</v>
      </c>
      <c r="K30" s="212" t="s">
        <v>214</v>
      </c>
      <c r="L30" s="208" t="s">
        <v>183</v>
      </c>
      <c r="M30" s="208" t="s">
        <v>184</v>
      </c>
      <c r="N30" s="208">
        <v>33.9</v>
      </c>
    </row>
    <row r="31" spans="1:14" ht="15" x14ac:dyDescent="0.25">
      <c r="A31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CBD God Bud (Indica)</v>
      </c>
      <c r="B31" s="208" t="s">
        <v>235</v>
      </c>
      <c r="C31" s="208">
        <v>688083005657</v>
      </c>
      <c r="D31" s="208" t="s">
        <v>187</v>
      </c>
      <c r="E31" s="208" t="s">
        <v>129</v>
      </c>
      <c r="F31" s="208" t="s">
        <v>121</v>
      </c>
      <c r="G31" s="208" t="s">
        <v>235</v>
      </c>
      <c r="H31" s="208" t="s">
        <v>211</v>
      </c>
      <c r="I31" s="208" t="s">
        <v>181</v>
      </c>
      <c r="J31" t="str">
        <f t="shared" si="1"/>
        <v>Boisé / Terreux</v>
      </c>
      <c r="K31" s="212" t="s">
        <v>200</v>
      </c>
      <c r="L31" s="208" t="s">
        <v>214</v>
      </c>
      <c r="M31" s="208" t="s">
        <v>184</v>
      </c>
      <c r="N31" s="208">
        <v>30.6</v>
      </c>
    </row>
    <row r="32" spans="1:14" ht="15" x14ac:dyDescent="0.25">
      <c r="A32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CBD GSC - CBD Girl Scout Cookies</v>
      </c>
      <c r="B32" t="s">
        <v>236</v>
      </c>
      <c r="C32" t="s">
        <v>237</v>
      </c>
      <c r="D32" t="s">
        <v>87</v>
      </c>
      <c r="E32" t="s">
        <v>129</v>
      </c>
      <c r="F32" t="s">
        <v>87</v>
      </c>
      <c r="G32" t="s">
        <v>238</v>
      </c>
      <c r="H32" t="s">
        <v>239</v>
      </c>
      <c r="I32" t="s">
        <v>189</v>
      </c>
      <c r="J32" t="str">
        <f t="shared" si="1"/>
        <v>Sucré / Épicé</v>
      </c>
      <c r="K32" t="s">
        <v>183</v>
      </c>
      <c r="L32" s="208" t="s">
        <v>190</v>
      </c>
      <c r="M32" s="208" t="s">
        <v>184</v>
      </c>
      <c r="N32" s="208">
        <v>32.5</v>
      </c>
    </row>
    <row r="33" spans="1:14" ht="15" x14ac:dyDescent="0.25">
      <c r="A33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CBD Moulu - Mélange</v>
      </c>
      <c r="B33" s="208" t="s">
        <v>240</v>
      </c>
      <c r="C33" s="208">
        <v>628634303054</v>
      </c>
      <c r="D33" s="208" t="s">
        <v>187</v>
      </c>
      <c r="E33" s="208" t="s">
        <v>129</v>
      </c>
      <c r="F33" s="208" t="s">
        <v>87</v>
      </c>
      <c r="G33" s="208" t="s">
        <v>241</v>
      </c>
      <c r="H33" s="208" t="s">
        <v>242</v>
      </c>
      <c r="I33" s="208" t="s">
        <v>189</v>
      </c>
      <c r="J33" t="str">
        <f t="shared" si="1"/>
        <v>Épicé / FLoral</v>
      </c>
      <c r="K33" s="212" t="s">
        <v>190</v>
      </c>
      <c r="L33" s="208" t="s">
        <v>243</v>
      </c>
      <c r="M33" s="208" t="s">
        <v>184</v>
      </c>
      <c r="N33" s="208">
        <v>17.3</v>
      </c>
    </row>
    <row r="34" spans="1:14" ht="15" x14ac:dyDescent="0.25">
      <c r="A34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CBD Runtz (Sativa)</v>
      </c>
      <c r="B34" t="s">
        <v>244</v>
      </c>
      <c r="C34" t="s">
        <v>245</v>
      </c>
      <c r="D34" t="s">
        <v>187</v>
      </c>
      <c r="E34" t="s">
        <v>129</v>
      </c>
      <c r="F34" t="s">
        <v>125</v>
      </c>
      <c r="G34" t="s">
        <v>244</v>
      </c>
      <c r="H34" t="s">
        <v>246</v>
      </c>
      <c r="I34" t="s">
        <v>181</v>
      </c>
      <c r="J34" t="str">
        <f t="shared" si="1"/>
        <v>Fruité / Sucré</v>
      </c>
      <c r="K34" t="s">
        <v>182</v>
      </c>
      <c r="L34" s="208" t="s">
        <v>183</v>
      </c>
      <c r="M34" s="208" t="s">
        <v>184</v>
      </c>
      <c r="N34" s="208">
        <v>25.6</v>
      </c>
    </row>
    <row r="35" spans="1:14" x14ac:dyDescent="0.2">
      <c r="A35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CBD Sol Vivant - En rotation</v>
      </c>
      <c r="B35" s="208" t="s">
        <v>247</v>
      </c>
      <c r="C35" s="208">
        <v>628693106566</v>
      </c>
      <c r="D35" s="208" t="s">
        <v>187</v>
      </c>
      <c r="E35" s="208" t="s">
        <v>129</v>
      </c>
      <c r="F35" s="208" t="s">
        <v>87</v>
      </c>
      <c r="G35" s="208" t="s">
        <v>248</v>
      </c>
      <c r="H35" s="208" t="s">
        <v>249</v>
      </c>
      <c r="I35" s="208" t="s">
        <v>87</v>
      </c>
      <c r="J35" s="208" t="s">
        <v>87</v>
      </c>
      <c r="K35" s="212" t="s">
        <v>87</v>
      </c>
      <c r="L35" s="208" t="s">
        <v>87</v>
      </c>
      <c r="M35" s="208" t="s">
        <v>184</v>
      </c>
      <c r="N35" s="208">
        <v>22.3</v>
      </c>
    </row>
    <row r="36" spans="1:14" ht="15" x14ac:dyDescent="0.25">
      <c r="A36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Cherry Blossom (Indica)</v>
      </c>
      <c r="B36" t="s">
        <v>250</v>
      </c>
      <c r="C36" t="s">
        <v>251</v>
      </c>
      <c r="D36" t="s">
        <v>87</v>
      </c>
      <c r="E36" t="s">
        <v>129</v>
      </c>
      <c r="F36" t="s">
        <v>121</v>
      </c>
      <c r="G36" t="s">
        <v>250</v>
      </c>
      <c r="H36" t="s">
        <v>252</v>
      </c>
      <c r="I36" t="s">
        <v>181</v>
      </c>
      <c r="J36" t="str">
        <f>_xlfn.CONCAT(K36," ","/"," ",L36)</f>
        <v>Fruité / FLoral</v>
      </c>
      <c r="K36" t="s">
        <v>182</v>
      </c>
      <c r="L36" s="208" t="s">
        <v>243</v>
      </c>
      <c r="M36" s="208" t="s">
        <v>184</v>
      </c>
      <c r="N36" s="208">
        <v>19.3</v>
      </c>
    </row>
    <row r="37" spans="1:14" ht="15" x14ac:dyDescent="0.25">
      <c r="A37" s="208" t="str">
        <f>IF(Tableau16[[#This Row],[Nom produit]]=Tableau16[[#This Row],[Variété]],Tableau16[[#This Row],[Nom produit]],_xlfn.CONCAT(Tableau16[[#This Row],[Nom produit]]," - ", Tableau16[[#This Row],[Variété]]))</f>
        <v>Feeldoux - En rotation</v>
      </c>
      <c r="B37" t="s">
        <v>253</v>
      </c>
      <c r="C37" s="208"/>
      <c r="D37" t="s">
        <v>187</v>
      </c>
      <c r="E37" s="208" t="s">
        <v>129</v>
      </c>
      <c r="F37" t="s">
        <v>87</v>
      </c>
      <c r="G37" t="s">
        <v>248</v>
      </c>
      <c r="H37" t="s">
        <v>254</v>
      </c>
      <c r="I37" t="s">
        <v>87</v>
      </c>
      <c r="J37" t="str">
        <f>_xlfn.CONCAT(K37," ","/"," ",L37)</f>
        <v>- / -</v>
      </c>
      <c r="K37" t="s">
        <v>87</v>
      </c>
      <c r="L37" t="s">
        <v>87</v>
      </c>
      <c r="M37" s="208" t="s">
        <v>184</v>
      </c>
      <c r="N37" s="280">
        <v>27.6</v>
      </c>
    </row>
    <row r="38" spans="1:14" ht="15" x14ac:dyDescent="0.25">
      <c r="A38" s="208" t="str">
        <f>IF(Tableau16[[#This Row],[Nom produit]]=Tableau16[[#This Row],[Variété]],Tableau16[[#This Row],[Nom produit]],_xlfn.CONCAT(Tableau16[[#This Row],[Nom produit]]," - ", Tableau16[[#This Row],[Variété]]))</f>
        <v>Findlay CBD Moulu - Mélange</v>
      </c>
      <c r="B38" t="s">
        <v>255</v>
      </c>
      <c r="C38" s="208"/>
      <c r="D38" t="s">
        <v>187</v>
      </c>
      <c r="E38" s="208" t="s">
        <v>129</v>
      </c>
      <c r="F38" t="s">
        <v>125</v>
      </c>
      <c r="G38" t="s">
        <v>241</v>
      </c>
      <c r="H38" t="s">
        <v>256</v>
      </c>
      <c r="I38" t="s">
        <v>87</v>
      </c>
      <c r="J38" t="str">
        <f>_xlfn.CONCAT(K38," ","/"," ",L38)</f>
        <v>- / -</v>
      </c>
      <c r="K38" t="s">
        <v>87</v>
      </c>
      <c r="L38" t="s">
        <v>87</v>
      </c>
      <c r="M38" s="208" t="s">
        <v>184</v>
      </c>
      <c r="N38" s="280">
        <v>14.7</v>
      </c>
    </row>
    <row r="39" spans="1:14" ht="15" x14ac:dyDescent="0.25">
      <c r="A39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Fleur de Lune - En rotation</v>
      </c>
      <c r="B39" s="208" t="s">
        <v>257</v>
      </c>
      <c r="C39" s="208">
        <v>628176622767</v>
      </c>
      <c r="D39" s="208" t="s">
        <v>187</v>
      </c>
      <c r="E39" s="208" t="s">
        <v>129</v>
      </c>
      <c r="F39" s="208" t="s">
        <v>87</v>
      </c>
      <c r="G39" s="208" t="s">
        <v>248</v>
      </c>
      <c r="H39" s="208" t="s">
        <v>258</v>
      </c>
      <c r="I39" s="208"/>
      <c r="J39" t="str">
        <f>_xlfn.CONCAT(K39," ","/"," ",L39)</f>
        <v>Floral / Fruité</v>
      </c>
      <c r="K39" s="212" t="s">
        <v>219</v>
      </c>
      <c r="L39" s="208" t="s">
        <v>182</v>
      </c>
      <c r="M39" s="208" t="s">
        <v>184</v>
      </c>
      <c r="N39" s="208">
        <v>25.8</v>
      </c>
    </row>
    <row r="40" spans="1:14" ht="15" x14ac:dyDescent="0.25">
      <c r="A40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Fleurs CBD - En rotation</v>
      </c>
      <c r="B40" t="s">
        <v>259</v>
      </c>
      <c r="C40" t="s">
        <v>260</v>
      </c>
      <c r="D40" t="s">
        <v>187</v>
      </c>
      <c r="E40" t="s">
        <v>129</v>
      </c>
      <c r="F40" t="s">
        <v>87</v>
      </c>
      <c r="G40" t="s">
        <v>248</v>
      </c>
      <c r="H40" t="s">
        <v>261</v>
      </c>
      <c r="I40" t="s">
        <v>87</v>
      </c>
      <c r="J40" t="s">
        <v>87</v>
      </c>
      <c r="K40" t="s">
        <v>87</v>
      </c>
      <c r="L40" s="208" t="s">
        <v>87</v>
      </c>
      <c r="M40" s="208" t="s">
        <v>184</v>
      </c>
      <c r="N40" s="208">
        <v>26.7</v>
      </c>
    </row>
    <row r="41" spans="1:14" x14ac:dyDescent="0.2">
      <c r="A41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Grasse Matinée - En rotation</v>
      </c>
      <c r="B41" s="208" t="s">
        <v>262</v>
      </c>
      <c r="C41" s="208">
        <v>628634099407</v>
      </c>
      <c r="D41" s="208" t="s">
        <v>187</v>
      </c>
      <c r="E41" s="208" t="s">
        <v>129</v>
      </c>
      <c r="F41" s="208" t="s">
        <v>87</v>
      </c>
      <c r="G41" s="208" t="s">
        <v>248</v>
      </c>
      <c r="H41" s="208" t="s">
        <v>263</v>
      </c>
      <c r="I41" s="208" t="s">
        <v>87</v>
      </c>
      <c r="J41" s="208" t="s">
        <v>87</v>
      </c>
      <c r="K41" s="212" t="s">
        <v>87</v>
      </c>
      <c r="L41" s="208" t="s">
        <v>87</v>
      </c>
      <c r="M41" s="208" t="s">
        <v>184</v>
      </c>
      <c r="N41" s="208">
        <v>19.899999999999999</v>
      </c>
    </row>
    <row r="42" spans="1:14" ht="15" x14ac:dyDescent="0.25">
      <c r="A42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Harmoniser - Nordle</v>
      </c>
      <c r="B42" t="s">
        <v>21</v>
      </c>
      <c r="C42" t="s">
        <v>264</v>
      </c>
      <c r="D42" t="s">
        <v>87</v>
      </c>
      <c r="E42" t="s">
        <v>129</v>
      </c>
      <c r="F42" t="s">
        <v>87</v>
      </c>
      <c r="G42" t="s">
        <v>265</v>
      </c>
      <c r="H42" t="s">
        <v>196</v>
      </c>
      <c r="I42" t="s">
        <v>197</v>
      </c>
      <c r="J42" t="str">
        <f>_xlfn.CONCAT(K42," ","/"," ",L42)</f>
        <v>Citronné / Épicé</v>
      </c>
      <c r="K42" t="s">
        <v>204</v>
      </c>
      <c r="L42" s="208" t="s">
        <v>190</v>
      </c>
      <c r="M42" s="208" t="s">
        <v>184</v>
      </c>
      <c r="N42" s="208">
        <v>22.1</v>
      </c>
    </row>
    <row r="43" spans="1:14" ht="15" x14ac:dyDescent="0.25">
      <c r="A43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Haut CBD - En rotation</v>
      </c>
      <c r="B43" t="s">
        <v>266</v>
      </c>
      <c r="C43" t="s">
        <v>267</v>
      </c>
      <c r="D43" t="s">
        <v>187</v>
      </c>
      <c r="E43" t="s">
        <v>129</v>
      </c>
      <c r="F43" t="s">
        <v>87</v>
      </c>
      <c r="G43" t="s">
        <v>248</v>
      </c>
      <c r="H43" t="s">
        <v>242</v>
      </c>
      <c r="I43" t="s">
        <v>181</v>
      </c>
      <c r="J43" t="s">
        <v>87</v>
      </c>
      <c r="K43" t="s">
        <v>87</v>
      </c>
      <c r="L43" s="208" t="s">
        <v>87</v>
      </c>
      <c r="M43" s="208" t="s">
        <v>184</v>
      </c>
      <c r="N43" s="208">
        <v>25.3</v>
      </c>
    </row>
    <row r="44" spans="1:14" ht="15" x14ac:dyDescent="0.25">
      <c r="A44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Interlude (Sativa)</v>
      </c>
      <c r="B44" t="s">
        <v>268</v>
      </c>
      <c r="C44" t="s">
        <v>269</v>
      </c>
      <c r="D44" t="s">
        <v>87</v>
      </c>
      <c r="E44" t="s">
        <v>129</v>
      </c>
      <c r="F44" t="s">
        <v>125</v>
      </c>
      <c r="G44" t="s">
        <v>268</v>
      </c>
      <c r="H44" t="s">
        <v>270</v>
      </c>
      <c r="I44" t="s">
        <v>197</v>
      </c>
      <c r="J44" t="str">
        <f>_xlfn.CONCAT(K44," ","/"," ",L44)</f>
        <v>Boisé / Épicé</v>
      </c>
      <c r="K44" t="s">
        <v>200</v>
      </c>
      <c r="L44" s="208" t="s">
        <v>190</v>
      </c>
      <c r="M44" s="208" t="s">
        <v>184</v>
      </c>
      <c r="N44" s="208">
        <v>29.7</v>
      </c>
    </row>
    <row r="45" spans="1:14" ht="12.75" customHeight="1" x14ac:dyDescent="0.2">
      <c r="A45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Intersection Équilibrée - Mélange</v>
      </c>
      <c r="B45" s="208" t="s">
        <v>271</v>
      </c>
      <c r="C45" s="208">
        <v>820939003374</v>
      </c>
      <c r="D45" s="208" t="s">
        <v>87</v>
      </c>
      <c r="E45" s="208" t="s">
        <v>129</v>
      </c>
      <c r="F45" s="208" t="s">
        <v>87</v>
      </c>
      <c r="G45" s="208" t="s">
        <v>241</v>
      </c>
      <c r="H45" s="208" t="s">
        <v>233</v>
      </c>
      <c r="I45" s="208" t="s">
        <v>87</v>
      </c>
      <c r="J45" s="208" t="s">
        <v>87</v>
      </c>
      <c r="K45" s="212" t="s">
        <v>87</v>
      </c>
      <c r="L45" s="208" t="s">
        <v>87</v>
      </c>
      <c r="M45" s="208" t="s">
        <v>184</v>
      </c>
      <c r="N45" s="208">
        <v>19.3</v>
      </c>
    </row>
    <row r="46" spans="1:14" x14ac:dyDescent="0.2">
      <c r="A46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Juste CBD - En rotation</v>
      </c>
      <c r="B46" s="208" t="s">
        <v>272</v>
      </c>
      <c r="C46" s="208">
        <v>870857000368</v>
      </c>
      <c r="D46" s="208" t="s">
        <v>187</v>
      </c>
      <c r="E46" s="208" t="s">
        <v>129</v>
      </c>
      <c r="F46" s="208" t="s">
        <v>87</v>
      </c>
      <c r="G46" s="208" t="s">
        <v>248</v>
      </c>
      <c r="H46" s="208" t="s">
        <v>273</v>
      </c>
      <c r="I46" s="208" t="s">
        <v>87</v>
      </c>
      <c r="J46" s="208" t="s">
        <v>87</v>
      </c>
      <c r="K46" s="212" t="s">
        <v>87</v>
      </c>
      <c r="L46" s="208" t="s">
        <v>87</v>
      </c>
      <c r="M46" s="208" t="s">
        <v>184</v>
      </c>
      <c r="N46" s="208">
        <v>27.6</v>
      </c>
    </row>
    <row r="47" spans="1:14" x14ac:dyDescent="0.2">
      <c r="A47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Le Moitié-Moitié - En rotation</v>
      </c>
      <c r="B47" s="208" t="s">
        <v>274</v>
      </c>
      <c r="C47" s="208">
        <v>870857000351</v>
      </c>
      <c r="D47" s="208" t="s">
        <v>187</v>
      </c>
      <c r="E47" s="208" t="s">
        <v>129</v>
      </c>
      <c r="F47" s="208" t="s">
        <v>87</v>
      </c>
      <c r="G47" s="208" t="s">
        <v>248</v>
      </c>
      <c r="H47" s="208" t="s">
        <v>273</v>
      </c>
      <c r="I47" s="208" t="s">
        <v>87</v>
      </c>
      <c r="J47" s="208" t="s">
        <v>87</v>
      </c>
      <c r="K47" s="212" t="s">
        <v>87</v>
      </c>
      <c r="L47" s="208" t="s">
        <v>87</v>
      </c>
      <c r="M47" s="208" t="s">
        <v>184</v>
      </c>
      <c r="N47" s="208">
        <v>27.6</v>
      </c>
    </row>
    <row r="48" spans="1:14" ht="15" x14ac:dyDescent="0.25">
      <c r="A48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Le Sous-Bois Bio (Indica)</v>
      </c>
      <c r="B48" t="s">
        <v>275</v>
      </c>
      <c r="C48" t="s">
        <v>276</v>
      </c>
      <c r="D48" t="s">
        <v>87</v>
      </c>
      <c r="E48" t="s">
        <v>129</v>
      </c>
      <c r="F48" t="s">
        <v>121</v>
      </c>
      <c r="G48" t="s">
        <v>275</v>
      </c>
      <c r="H48" t="s">
        <v>277</v>
      </c>
      <c r="I48" t="s">
        <v>278</v>
      </c>
      <c r="J48" t="str">
        <f>_xlfn.CONCAT(K48," ","/"," ",L48)</f>
        <v>Épicé / Boisé</v>
      </c>
      <c r="K48" t="s">
        <v>190</v>
      </c>
      <c r="L48" s="208" t="s">
        <v>200</v>
      </c>
      <c r="M48" s="208" t="s">
        <v>184</v>
      </c>
      <c r="N48" s="208">
        <v>27</v>
      </c>
    </row>
    <row r="49" spans="1:14" ht="15" x14ac:dyDescent="0.25">
      <c r="A49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L'Entre Deux - 91K x CBD OG Kush</v>
      </c>
      <c r="B49" t="s">
        <v>279</v>
      </c>
      <c r="C49" t="s">
        <v>280</v>
      </c>
      <c r="D49" t="s">
        <v>187</v>
      </c>
      <c r="E49" t="s">
        <v>129</v>
      </c>
      <c r="F49" t="s">
        <v>87</v>
      </c>
      <c r="G49" t="s">
        <v>281</v>
      </c>
      <c r="H49" t="s">
        <v>211</v>
      </c>
      <c r="I49" t="s">
        <v>181</v>
      </c>
      <c r="J49" t="str">
        <f>_xlfn.CONCAT(K49," ","/"," ",L49)</f>
        <v>Mouffette / Diesel</v>
      </c>
      <c r="K49" t="s">
        <v>198</v>
      </c>
      <c r="L49" s="208" t="s">
        <v>282</v>
      </c>
      <c r="M49" s="208" t="s">
        <v>184</v>
      </c>
      <c r="N49" s="208">
        <v>30.6</v>
      </c>
    </row>
    <row r="50" spans="1:14" ht="15" x14ac:dyDescent="0.25">
      <c r="A50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Les Fleurs de la Marquise - Umpqua (Indica)</v>
      </c>
      <c r="B50" t="s">
        <v>283</v>
      </c>
      <c r="C50" t="s">
        <v>284</v>
      </c>
      <c r="D50" t="s">
        <v>187</v>
      </c>
      <c r="E50" t="s">
        <v>129</v>
      </c>
      <c r="F50" t="s">
        <v>121</v>
      </c>
      <c r="G50" t="s">
        <v>285</v>
      </c>
      <c r="H50" t="s">
        <v>286</v>
      </c>
      <c r="I50" t="s">
        <v>181</v>
      </c>
      <c r="J50" t="str">
        <f>_xlfn.CONCAT(K50," ","/"," ",L50)</f>
        <v>Sucré / Citronné</v>
      </c>
      <c r="K50" t="s">
        <v>183</v>
      </c>
      <c r="L50" s="208" t="s">
        <v>204</v>
      </c>
      <c r="M50" s="208" t="s">
        <v>184</v>
      </c>
      <c r="N50" s="208">
        <v>26.2</v>
      </c>
    </row>
    <row r="51" spans="1:14" ht="15" x14ac:dyDescent="0.25">
      <c r="A51" s="208" t="str">
        <f>IF(Tableau16[[#This Row],[Nom produit]]=Tableau16[[#This Row],[Variété]],Tableau16[[#This Row],[Nom produit]],_xlfn.CONCAT(Tableau16[[#This Row],[Nom produit]]," - ", Tableau16[[#This Row],[Variété]]))</f>
        <v>Long Valley Legend</v>
      </c>
      <c r="B51" t="s">
        <v>165</v>
      </c>
      <c r="C51" s="208"/>
      <c r="D51" t="s">
        <v>187</v>
      </c>
      <c r="E51" s="208" t="s">
        <v>129</v>
      </c>
      <c r="F51" t="s">
        <v>125</v>
      </c>
      <c r="G51" t="s">
        <v>165</v>
      </c>
      <c r="H51" t="s">
        <v>287</v>
      </c>
      <c r="I51" t="s">
        <v>181</v>
      </c>
      <c r="J51" t="str">
        <f>_xlfn.CONCAT(K51," ","/"," ",L51)</f>
        <v>Mouffette / -</v>
      </c>
      <c r="K51" t="s">
        <v>198</v>
      </c>
      <c r="L51" t="s">
        <v>87</v>
      </c>
      <c r="M51" s="208" t="s">
        <v>184</v>
      </c>
      <c r="N51" s="280">
        <v>36</v>
      </c>
    </row>
    <row r="52" spans="1:14" ht="15" x14ac:dyDescent="0.25">
      <c r="A52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LSO 1:1 - En rotation</v>
      </c>
      <c r="B52" t="s">
        <v>288</v>
      </c>
      <c r="C52" t="s">
        <v>289</v>
      </c>
      <c r="D52" t="s">
        <v>187</v>
      </c>
      <c r="E52" t="s">
        <v>129</v>
      </c>
      <c r="F52" t="s">
        <v>87</v>
      </c>
      <c r="G52" t="s">
        <v>248</v>
      </c>
      <c r="H52" t="s">
        <v>290</v>
      </c>
      <c r="I52" t="s">
        <v>87</v>
      </c>
      <c r="J52" t="s">
        <v>87</v>
      </c>
      <c r="K52" t="s">
        <v>87</v>
      </c>
      <c r="L52" s="208" t="s">
        <v>87</v>
      </c>
      <c r="M52" s="208" t="s">
        <v>184</v>
      </c>
      <c r="N52" s="208">
        <v>26</v>
      </c>
    </row>
    <row r="53" spans="1:14" ht="15" x14ac:dyDescent="0.25">
      <c r="A53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Mandarine Sugar - Deep Mandarine</v>
      </c>
      <c r="B53" s="208" t="s">
        <v>291</v>
      </c>
      <c r="C53" s="208">
        <v>620376135436</v>
      </c>
      <c r="D53" s="208" t="s">
        <v>187</v>
      </c>
      <c r="E53" s="208" t="s">
        <v>129</v>
      </c>
      <c r="F53" s="208" t="s">
        <v>87</v>
      </c>
      <c r="G53" s="208" t="s">
        <v>292</v>
      </c>
      <c r="H53" s="208" t="s">
        <v>293</v>
      </c>
      <c r="I53" s="208" t="s">
        <v>294</v>
      </c>
      <c r="J53" t="str">
        <f t="shared" ref="J53:J61" si="2">_xlfn.CONCAT(K53," ","/"," ",L53)</f>
        <v>Fruité / Sucré</v>
      </c>
      <c r="K53" s="212" t="s">
        <v>182</v>
      </c>
      <c r="L53" s="208" t="s">
        <v>183</v>
      </c>
      <c r="M53" s="208" t="s">
        <v>184</v>
      </c>
      <c r="N53" s="208">
        <v>27</v>
      </c>
    </row>
    <row r="54" spans="1:14" ht="15" x14ac:dyDescent="0.25">
      <c r="A54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Mango</v>
      </c>
      <c r="B54" t="s">
        <v>142</v>
      </c>
      <c r="C54" t="s">
        <v>295</v>
      </c>
      <c r="D54" t="s">
        <v>187</v>
      </c>
      <c r="E54" t="s">
        <v>129</v>
      </c>
      <c r="F54" t="s">
        <v>87</v>
      </c>
      <c r="G54" t="s">
        <v>142</v>
      </c>
      <c r="H54" t="s">
        <v>218</v>
      </c>
      <c r="I54" t="s">
        <v>278</v>
      </c>
      <c r="J54" t="str">
        <f t="shared" si="2"/>
        <v>Fruité / Citronné</v>
      </c>
      <c r="K54" t="s">
        <v>182</v>
      </c>
      <c r="L54" s="208" t="s">
        <v>204</v>
      </c>
      <c r="M54" s="208" t="s">
        <v>184</v>
      </c>
      <c r="N54" s="208">
        <v>27.6</v>
      </c>
    </row>
    <row r="55" spans="1:14" ht="15" x14ac:dyDescent="0.25">
      <c r="A55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Mango Haze (Sativa)</v>
      </c>
      <c r="B55" t="s">
        <v>296</v>
      </c>
      <c r="C55" t="s">
        <v>297</v>
      </c>
      <c r="D55" t="s">
        <v>87</v>
      </c>
      <c r="E55" t="s">
        <v>129</v>
      </c>
      <c r="F55" t="s">
        <v>125</v>
      </c>
      <c r="G55" t="s">
        <v>296</v>
      </c>
      <c r="H55" t="s">
        <v>270</v>
      </c>
      <c r="I55" t="s">
        <v>181</v>
      </c>
      <c r="J55" t="str">
        <f t="shared" si="2"/>
        <v>Floral / Fruité</v>
      </c>
      <c r="K55" t="s">
        <v>219</v>
      </c>
      <c r="L55" s="208" t="s">
        <v>182</v>
      </c>
      <c r="M55" s="208" t="s">
        <v>184</v>
      </c>
      <c r="N55" s="208">
        <v>29.7</v>
      </c>
    </row>
    <row r="56" spans="1:14" ht="15" x14ac:dyDescent="0.25">
      <c r="A56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Molten Core 1:1 - Molten Core</v>
      </c>
      <c r="B56" s="208" t="s">
        <v>298</v>
      </c>
      <c r="C56" s="208">
        <v>870857000207</v>
      </c>
      <c r="D56" s="208" t="s">
        <v>187</v>
      </c>
      <c r="E56" s="208" t="s">
        <v>129</v>
      </c>
      <c r="F56" s="208" t="s">
        <v>87</v>
      </c>
      <c r="G56" s="208" t="s">
        <v>299</v>
      </c>
      <c r="H56" s="208" t="s">
        <v>300</v>
      </c>
      <c r="I56" s="208" t="s">
        <v>181</v>
      </c>
      <c r="J56" t="str">
        <f t="shared" si="2"/>
        <v>Fruité / Terreux</v>
      </c>
      <c r="K56" s="212" t="s">
        <v>182</v>
      </c>
      <c r="L56" s="208" t="s">
        <v>214</v>
      </c>
      <c r="M56" s="208" t="s">
        <v>184</v>
      </c>
      <c r="N56" s="208">
        <v>30.5</v>
      </c>
    </row>
    <row r="57" spans="1:14" ht="15" x14ac:dyDescent="0.25">
      <c r="A57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Momentum</v>
      </c>
      <c r="B57" t="s">
        <v>301</v>
      </c>
      <c r="C57" t="s">
        <v>302</v>
      </c>
      <c r="D57" t="s">
        <v>87</v>
      </c>
      <c r="E57" t="s">
        <v>129</v>
      </c>
      <c r="F57" t="s">
        <v>87</v>
      </c>
      <c r="G57" t="s">
        <v>301</v>
      </c>
      <c r="H57" t="s">
        <v>222</v>
      </c>
      <c r="I57" t="s">
        <v>181</v>
      </c>
      <c r="J57" t="str">
        <f t="shared" si="2"/>
        <v>Terreux / -</v>
      </c>
      <c r="K57" t="s">
        <v>214</v>
      </c>
      <c r="L57" s="208" t="s">
        <v>87</v>
      </c>
      <c r="M57" s="208" t="s">
        <v>184</v>
      </c>
      <c r="N57" s="208">
        <v>27</v>
      </c>
    </row>
    <row r="58" spans="1:14" ht="15" x14ac:dyDescent="0.25">
      <c r="A58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Moon Berry (Sativa)</v>
      </c>
      <c r="B58" s="208" t="s">
        <v>303</v>
      </c>
      <c r="C58" s="208">
        <v>628582002412</v>
      </c>
      <c r="D58" s="208" t="s">
        <v>87</v>
      </c>
      <c r="E58" s="208" t="s">
        <v>129</v>
      </c>
      <c r="F58" s="208" t="s">
        <v>125</v>
      </c>
      <c r="G58" s="208" t="s">
        <v>303</v>
      </c>
      <c r="H58" s="208" t="s">
        <v>304</v>
      </c>
      <c r="I58" s="208" t="s">
        <v>181</v>
      </c>
      <c r="J58" t="str">
        <f t="shared" si="2"/>
        <v>Fruité / Citronné</v>
      </c>
      <c r="K58" s="212" t="s">
        <v>182</v>
      </c>
      <c r="L58" s="208" t="s">
        <v>204</v>
      </c>
      <c r="M58" s="208" t="s">
        <v>184</v>
      </c>
      <c r="N58" s="208">
        <v>28.2</v>
      </c>
    </row>
    <row r="59" spans="1:14" ht="15" x14ac:dyDescent="0.25">
      <c r="A59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Oregon Coast CBD</v>
      </c>
      <c r="B59" t="s">
        <v>217</v>
      </c>
      <c r="C59" t="s">
        <v>216</v>
      </c>
      <c r="D59" t="s">
        <v>187</v>
      </c>
      <c r="E59" t="s">
        <v>129</v>
      </c>
      <c r="F59" t="s">
        <v>87</v>
      </c>
      <c r="G59" t="s">
        <v>217</v>
      </c>
      <c r="H59" t="s">
        <v>218</v>
      </c>
      <c r="I59" t="s">
        <v>189</v>
      </c>
      <c r="J59" t="str">
        <f t="shared" si="2"/>
        <v>Épicé / Floral</v>
      </c>
      <c r="K59" t="s">
        <v>190</v>
      </c>
      <c r="L59" s="208" t="s">
        <v>219</v>
      </c>
      <c r="M59" s="208" t="s">
        <v>184</v>
      </c>
      <c r="N59" s="208">
        <v>24.9</v>
      </c>
    </row>
    <row r="60" spans="1:14" ht="15" x14ac:dyDescent="0.25">
      <c r="A60" s="208" t="str">
        <f>IF(Tableau16[[#This Row],[Nom produit]]=Tableau16[[#This Row],[Variété]],Tableau16[[#This Row],[Nom produit]],_xlfn.CONCAT(Tableau16[[#This Row],[Nom produit]]," - ", Tableau16[[#This Row],[Variété]]))</f>
        <v>Peach Sumo</v>
      </c>
      <c r="B60" t="s">
        <v>158</v>
      </c>
      <c r="C60" s="208"/>
      <c r="D60" t="s">
        <v>187</v>
      </c>
      <c r="E60" s="208" t="s">
        <v>129</v>
      </c>
      <c r="F60" t="s">
        <v>87</v>
      </c>
      <c r="G60" t="s">
        <v>158</v>
      </c>
      <c r="H60" t="s">
        <v>305</v>
      </c>
      <c r="I60" t="s">
        <v>181</v>
      </c>
      <c r="J60" t="str">
        <f t="shared" si="2"/>
        <v>Fruité / Floral</v>
      </c>
      <c r="K60" t="s">
        <v>182</v>
      </c>
      <c r="L60" t="s">
        <v>219</v>
      </c>
      <c r="M60" s="208" t="s">
        <v>184</v>
      </c>
      <c r="N60" s="280">
        <v>29.9</v>
      </c>
    </row>
    <row r="61" spans="1:14" ht="15" x14ac:dyDescent="0.25">
      <c r="A61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Pennywise 1:1</v>
      </c>
      <c r="B61" t="s">
        <v>136</v>
      </c>
      <c r="C61" t="s">
        <v>306</v>
      </c>
      <c r="D61" t="s">
        <v>87</v>
      </c>
      <c r="E61" t="s">
        <v>129</v>
      </c>
      <c r="F61" t="s">
        <v>87</v>
      </c>
      <c r="G61" t="s">
        <v>136</v>
      </c>
      <c r="H61" t="s">
        <v>233</v>
      </c>
      <c r="I61" t="s">
        <v>181</v>
      </c>
      <c r="J61" t="str">
        <f t="shared" si="2"/>
        <v>Sucré / Terreux</v>
      </c>
      <c r="K61" t="s">
        <v>183</v>
      </c>
      <c r="L61" s="208" t="s">
        <v>214</v>
      </c>
      <c r="M61" s="208" t="s">
        <v>184</v>
      </c>
      <c r="N61" s="208">
        <v>21.4</v>
      </c>
    </row>
    <row r="62" spans="1:14" ht="15" x14ac:dyDescent="0.25">
      <c r="A62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Preissac - En rotation</v>
      </c>
      <c r="B62" t="s">
        <v>307</v>
      </c>
      <c r="C62" t="s">
        <v>308</v>
      </c>
      <c r="D62" t="s">
        <v>187</v>
      </c>
      <c r="E62" t="s">
        <v>129</v>
      </c>
      <c r="F62" t="s">
        <v>87</v>
      </c>
      <c r="G62" t="s">
        <v>248</v>
      </c>
      <c r="H62" t="s">
        <v>309</v>
      </c>
      <c r="I62" t="s">
        <v>87</v>
      </c>
      <c r="J62" t="s">
        <v>87</v>
      </c>
      <c r="K62" t="s">
        <v>87</v>
      </c>
      <c r="L62" s="208" t="s">
        <v>87</v>
      </c>
      <c r="M62" s="208" t="s">
        <v>184</v>
      </c>
      <c r="N62" s="208">
        <v>26</v>
      </c>
    </row>
    <row r="63" spans="1:14" ht="15" x14ac:dyDescent="0.25">
      <c r="A63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Purple Mountain Majesty (Indica)</v>
      </c>
      <c r="B63" t="s">
        <v>310</v>
      </c>
      <c r="C63" t="s">
        <v>311</v>
      </c>
      <c r="D63" t="s">
        <v>187</v>
      </c>
      <c r="E63" t="s">
        <v>129</v>
      </c>
      <c r="F63" t="s">
        <v>121</v>
      </c>
      <c r="G63" t="s">
        <v>310</v>
      </c>
      <c r="H63" t="s">
        <v>312</v>
      </c>
      <c r="I63" t="s">
        <v>181</v>
      </c>
      <c r="J63" t="str">
        <f t="shared" ref="J63:J68" si="3">_xlfn.CONCAT(K63," ","/"," ",L63)</f>
        <v>Fruité / Citronné</v>
      </c>
      <c r="K63" t="s">
        <v>182</v>
      </c>
      <c r="L63" s="208" t="s">
        <v>204</v>
      </c>
      <c r="M63" s="208" t="s">
        <v>184</v>
      </c>
      <c r="N63" s="208">
        <v>29.9</v>
      </c>
    </row>
    <row r="64" spans="1:14" ht="15" x14ac:dyDescent="0.25">
      <c r="A64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Redecan 1:1 - En rotation</v>
      </c>
      <c r="B64" s="208" t="s">
        <v>313</v>
      </c>
      <c r="C64" s="208"/>
      <c r="D64" s="208" t="s">
        <v>87</v>
      </c>
      <c r="E64" s="208" t="s">
        <v>129</v>
      </c>
      <c r="F64" s="208" t="s">
        <v>87</v>
      </c>
      <c r="G64" s="208" t="s">
        <v>248</v>
      </c>
      <c r="H64" s="208" t="s">
        <v>314</v>
      </c>
      <c r="I64" s="208"/>
      <c r="J64" t="str">
        <f t="shared" si="3"/>
        <v>- / -</v>
      </c>
      <c r="K64" s="212" t="s">
        <v>87</v>
      </c>
      <c r="L64" s="208" t="s">
        <v>87</v>
      </c>
      <c r="M64" s="208" t="s">
        <v>184</v>
      </c>
      <c r="N64" s="208">
        <v>22.2</v>
      </c>
    </row>
    <row r="65" spans="1:14" ht="15" x14ac:dyDescent="0.25">
      <c r="A65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Redecan CBD - En rotation</v>
      </c>
      <c r="B65" s="208" t="s">
        <v>315</v>
      </c>
      <c r="C65" s="208"/>
      <c r="D65" s="208" t="s">
        <v>87</v>
      </c>
      <c r="E65" s="208" t="s">
        <v>129</v>
      </c>
      <c r="F65" s="208" t="s">
        <v>87</v>
      </c>
      <c r="G65" s="208" t="s">
        <v>248</v>
      </c>
      <c r="H65" s="208" t="s">
        <v>314</v>
      </c>
      <c r="I65" s="208"/>
      <c r="J65" t="str">
        <f t="shared" si="3"/>
        <v>- / -</v>
      </c>
      <c r="K65" s="212" t="s">
        <v>87</v>
      </c>
      <c r="L65" s="208" t="s">
        <v>87</v>
      </c>
      <c r="M65" s="208" t="s">
        <v>184</v>
      </c>
      <c r="N65" s="208">
        <v>22.2</v>
      </c>
    </row>
    <row r="66" spans="1:14" ht="15" x14ac:dyDescent="0.25">
      <c r="A66" s="208" t="str">
        <f>IF(Tableau16[[#This Row],[Nom produit]]=Tableau16[[#This Row],[Variété]],Tableau16[[#This Row],[Nom produit]],_xlfn.CONCAT(Tableau16[[#This Row],[Nom produit]]," - ", Tableau16[[#This Row],[Variété]]))</f>
        <v>Shockwave 1:1 - Shockwave</v>
      </c>
      <c r="B66" s="208" t="s">
        <v>316</v>
      </c>
      <c r="C66" s="208">
        <v>870857000214</v>
      </c>
      <c r="D66" s="208" t="s">
        <v>187</v>
      </c>
      <c r="E66" s="208" t="s">
        <v>129</v>
      </c>
      <c r="F66" s="208" t="s">
        <v>87</v>
      </c>
      <c r="G66" s="208" t="s">
        <v>317</v>
      </c>
      <c r="H66" s="208" t="s">
        <v>300</v>
      </c>
      <c r="I66" s="208" t="s">
        <v>278</v>
      </c>
      <c r="J66" t="str">
        <f t="shared" si="3"/>
        <v>Fruité / Citronné</v>
      </c>
      <c r="K66" s="212" t="s">
        <v>182</v>
      </c>
      <c r="L66" s="208" t="s">
        <v>204</v>
      </c>
      <c r="M66" s="208" t="s">
        <v>184</v>
      </c>
      <c r="N66" s="208">
        <v>27.4</v>
      </c>
    </row>
    <row r="67" spans="1:14" ht="15" x14ac:dyDescent="0.25">
      <c r="A67" s="208" t="str">
        <f>IF(Tableau16[[#This Row],[Nom produit]]=Tableau16[[#This Row],[Variété]],Tableau16[[#This Row],[Nom produit]],_xlfn.CONCAT(Tableau16[[#This Row],[Nom produit]]," - ", Tableau16[[#This Row],[Variété]]))</f>
        <v>Stinky Pinky</v>
      </c>
      <c r="B67" t="s">
        <v>159</v>
      </c>
      <c r="C67" s="208"/>
      <c r="D67" t="s">
        <v>187</v>
      </c>
      <c r="E67" s="208" t="s">
        <v>129</v>
      </c>
      <c r="F67" t="s">
        <v>121</v>
      </c>
      <c r="G67" t="s">
        <v>159</v>
      </c>
      <c r="H67" t="s">
        <v>318</v>
      </c>
      <c r="I67" t="s">
        <v>189</v>
      </c>
      <c r="J67" t="str">
        <f t="shared" si="3"/>
        <v>Épicé / Floral</v>
      </c>
      <c r="K67" t="s">
        <v>190</v>
      </c>
      <c r="L67" t="s">
        <v>219</v>
      </c>
      <c r="M67" s="208" t="s">
        <v>184</v>
      </c>
      <c r="N67" s="280">
        <v>25.1</v>
      </c>
    </row>
    <row r="68" spans="1:14" ht="15" x14ac:dyDescent="0.25">
      <c r="A68" s="208" t="str">
        <f>IF(Tableau16[[#This Row],[Nom produit]]=Tableau16[[#This Row],[Variété]],Tableau16[[#This Row],[Nom produit]],_xlfn.CONCAT(Tableau16[[#This Row],[Nom produit]]," - ", Tableau16[[#This Row],[Variété]]))</f>
        <v>Swiss Gold Équilibré - Swiss Gold</v>
      </c>
      <c r="B68" s="208" t="s">
        <v>319</v>
      </c>
      <c r="C68" s="208">
        <v>820939004982</v>
      </c>
      <c r="D68" s="208" t="s">
        <v>87</v>
      </c>
      <c r="E68" s="208" t="s">
        <v>129</v>
      </c>
      <c r="F68" s="208" t="s">
        <v>87</v>
      </c>
      <c r="G68" s="208" t="s">
        <v>320</v>
      </c>
      <c r="H68" s="208" t="s">
        <v>321</v>
      </c>
      <c r="I68" s="208" t="s">
        <v>181</v>
      </c>
      <c r="J68" t="str">
        <f t="shared" si="3"/>
        <v>Diesel / Épicé</v>
      </c>
      <c r="K68" s="212" t="s">
        <v>282</v>
      </c>
      <c r="L68" s="208" t="s">
        <v>190</v>
      </c>
      <c r="M68" s="208" t="s">
        <v>184</v>
      </c>
      <c r="N68" s="208">
        <v>25.1</v>
      </c>
    </row>
    <row r="69" spans="1:14" ht="15" x14ac:dyDescent="0.25">
      <c r="A69" s="208" t="str">
        <f>_xlfn.CONCAT(IF(Tableau16[[#This Row],[Nom produit]]=Tableau16[[#This Row],[Variété]],Tableau16[[#This Row],[Nom produit]],_xlfn.CONCAT(Tableau16[[#This Row],[Nom produit]]," - ", Tableau16[[#This Row],[Variété]])),IF(Tableau16[[#This Row],[Dominance Hybride (ds)]]="-",,_xlfn.CONCAT(" ","(",Tableau16[[#This Row],[Dominance Hybride (ds)]],")")))</f>
        <v>Twd. Balanced - En rotation</v>
      </c>
      <c r="B69" t="s">
        <v>322</v>
      </c>
      <c r="C69" t="s">
        <v>323</v>
      </c>
      <c r="D69" t="s">
        <v>87</v>
      </c>
      <c r="E69" t="s">
        <v>129</v>
      </c>
      <c r="F69" t="s">
        <v>87</v>
      </c>
      <c r="G69" t="s">
        <v>248</v>
      </c>
      <c r="H69" t="s">
        <v>324</v>
      </c>
      <c r="I69" t="s">
        <v>87</v>
      </c>
      <c r="J69" t="s">
        <v>87</v>
      </c>
      <c r="K69" t="s">
        <v>87</v>
      </c>
      <c r="L69" s="208" t="s">
        <v>87</v>
      </c>
      <c r="M69" s="208" t="s">
        <v>184</v>
      </c>
      <c r="N69" s="208">
        <v>21.2</v>
      </c>
    </row>
  </sheetData>
  <mergeCells count="3">
    <mergeCell ref="A19:N19"/>
    <mergeCell ref="A14:N14"/>
    <mergeCell ref="A2:N2"/>
  </mergeCells>
  <phoneticPr fontId="29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BD3F6-19BC-40CA-AF87-96DA23F973A8}">
  <sheetPr codeName="Feuil6">
    <tabColor theme="0" tint="-0.499984740745262"/>
  </sheetPr>
  <dimension ref="A1:L156"/>
  <sheetViews>
    <sheetView topLeftCell="A101" workbookViewId="0">
      <selection activeCell="K18" sqref="K18"/>
    </sheetView>
  </sheetViews>
  <sheetFormatPr baseColWidth="10" defaultColWidth="11.42578125" defaultRowHeight="15" x14ac:dyDescent="0.25"/>
  <cols>
    <col min="1" max="1" width="19" customWidth="1"/>
    <col min="2" max="2" width="19.7109375" customWidth="1"/>
    <col min="3" max="3" width="15" customWidth="1"/>
    <col min="4" max="4" width="17.42578125" customWidth="1"/>
    <col min="5" max="5" width="16.28515625" customWidth="1"/>
    <col min="6" max="6" width="18.140625" customWidth="1"/>
    <col min="7" max="7" width="19.85546875" customWidth="1"/>
    <col min="8" max="8" width="13.42578125" customWidth="1"/>
    <col min="11" max="11" width="13.28515625" customWidth="1"/>
  </cols>
  <sheetData>
    <row r="1" spans="1:12" ht="15.75" thickBot="1" x14ac:dyDescent="0.3"/>
    <row r="2" spans="1:12" ht="15" customHeight="1" x14ac:dyDescent="0.25">
      <c r="A2" s="471" t="s">
        <v>325</v>
      </c>
      <c r="B2" s="472"/>
      <c r="C2" s="472"/>
      <c r="D2" s="472"/>
      <c r="E2" s="472"/>
      <c r="F2" s="472"/>
      <c r="G2" s="472"/>
      <c r="H2" s="472"/>
      <c r="I2" s="472"/>
      <c r="J2" s="472"/>
      <c r="K2" s="472"/>
      <c r="L2" s="473"/>
    </row>
    <row r="3" spans="1:12" ht="15.75" customHeight="1" thickBot="1" x14ac:dyDescent="0.3">
      <c r="A3" s="474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6"/>
    </row>
    <row r="5" spans="1:12" x14ac:dyDescent="0.25">
      <c r="A5" s="158" t="s">
        <v>169</v>
      </c>
      <c r="B5" s="157" t="s">
        <v>171</v>
      </c>
      <c r="C5" s="156" t="s">
        <v>168</v>
      </c>
      <c r="D5" s="156" t="s">
        <v>173</v>
      </c>
      <c r="E5" s="156" t="s">
        <v>4</v>
      </c>
      <c r="F5" s="156" t="s">
        <v>174</v>
      </c>
      <c r="G5" s="156" t="s">
        <v>122</v>
      </c>
      <c r="H5" s="156" t="s">
        <v>326</v>
      </c>
      <c r="I5" s="156" t="s">
        <v>5</v>
      </c>
      <c r="J5" s="156" t="s">
        <v>327</v>
      </c>
      <c r="K5" s="156" t="s">
        <v>6</v>
      </c>
      <c r="L5" s="156" t="s">
        <v>328</v>
      </c>
    </row>
    <row r="6" spans="1:12" x14ac:dyDescent="0.25">
      <c r="A6" s="160">
        <v>628242510257</v>
      </c>
      <c r="B6" s="154" t="s">
        <v>129</v>
      </c>
      <c r="C6" s="153" t="s">
        <v>329</v>
      </c>
      <c r="D6" s="153" t="s">
        <v>241</v>
      </c>
      <c r="E6" s="153" t="s">
        <v>330</v>
      </c>
      <c r="F6" s="153" t="s">
        <v>331</v>
      </c>
      <c r="G6" s="153" t="s">
        <v>214</v>
      </c>
      <c r="H6" s="153" t="s">
        <v>200</v>
      </c>
      <c r="I6" s="153" t="s">
        <v>332</v>
      </c>
      <c r="J6" s="153" t="s">
        <v>333</v>
      </c>
      <c r="K6" s="152">
        <v>38</v>
      </c>
      <c r="L6" s="153"/>
    </row>
    <row r="7" spans="1:12" x14ac:dyDescent="0.25">
      <c r="A7" s="159">
        <v>628242510509</v>
      </c>
      <c r="B7" s="150" t="s">
        <v>129</v>
      </c>
      <c r="C7" s="149" t="s">
        <v>334</v>
      </c>
      <c r="D7" s="149" t="s">
        <v>241</v>
      </c>
      <c r="E7" s="149" t="s">
        <v>335</v>
      </c>
      <c r="F7" s="149" t="s">
        <v>189</v>
      </c>
      <c r="G7" s="149" t="s">
        <v>200</v>
      </c>
      <c r="H7" s="149" t="s">
        <v>214</v>
      </c>
      <c r="I7" s="149" t="s">
        <v>332</v>
      </c>
      <c r="J7" s="149" t="s">
        <v>333</v>
      </c>
      <c r="K7" s="148">
        <v>20.100000000000001</v>
      </c>
      <c r="L7" s="153"/>
    </row>
    <row r="8" spans="1:12" x14ac:dyDescent="0.25">
      <c r="A8" s="159">
        <v>628242701426</v>
      </c>
      <c r="B8" s="150" t="s">
        <v>129</v>
      </c>
      <c r="C8" s="149" t="s">
        <v>336</v>
      </c>
      <c r="D8" s="149" t="s">
        <v>241</v>
      </c>
      <c r="E8" s="149" t="s">
        <v>337</v>
      </c>
      <c r="F8" s="149" t="s">
        <v>87</v>
      </c>
      <c r="G8" s="149" t="s">
        <v>87</v>
      </c>
      <c r="H8" s="149" t="s">
        <v>87</v>
      </c>
      <c r="I8" s="149" t="s">
        <v>332</v>
      </c>
      <c r="J8" s="149" t="s">
        <v>333</v>
      </c>
      <c r="K8" s="148">
        <v>59.8</v>
      </c>
      <c r="L8" s="153"/>
    </row>
    <row r="9" spans="1:12" x14ac:dyDescent="0.25">
      <c r="A9" s="159">
        <v>628242701525</v>
      </c>
      <c r="B9" s="150" t="s">
        <v>129</v>
      </c>
      <c r="C9" s="149" t="s">
        <v>338</v>
      </c>
      <c r="D9" s="149" t="s">
        <v>241</v>
      </c>
      <c r="E9" s="149" t="s">
        <v>337</v>
      </c>
      <c r="F9" s="149" t="s">
        <v>87</v>
      </c>
      <c r="G9" s="149" t="s">
        <v>87</v>
      </c>
      <c r="H9" s="149" t="s">
        <v>87</v>
      </c>
      <c r="I9" s="149" t="s">
        <v>332</v>
      </c>
      <c r="J9" s="149" t="s">
        <v>333</v>
      </c>
      <c r="K9" s="148">
        <v>29.9</v>
      </c>
      <c r="L9" s="153"/>
    </row>
    <row r="10" spans="1:12" x14ac:dyDescent="0.25">
      <c r="A10" s="160">
        <v>628451574040</v>
      </c>
      <c r="B10" s="154" t="s">
        <v>129</v>
      </c>
      <c r="C10" s="153" t="s">
        <v>26</v>
      </c>
      <c r="D10" s="153" t="s">
        <v>241</v>
      </c>
      <c r="E10" s="153" t="s">
        <v>339</v>
      </c>
      <c r="F10" s="153" t="s">
        <v>87</v>
      </c>
      <c r="G10" s="153" t="s">
        <v>87</v>
      </c>
      <c r="H10" s="153" t="s">
        <v>87</v>
      </c>
      <c r="I10" s="153" t="s">
        <v>332</v>
      </c>
      <c r="J10" s="153" t="s">
        <v>333</v>
      </c>
      <c r="K10" s="152">
        <v>44.9</v>
      </c>
      <c r="L10" s="153"/>
    </row>
    <row r="11" spans="1:12" x14ac:dyDescent="0.25">
      <c r="A11" s="159">
        <v>628451574224</v>
      </c>
      <c r="B11" s="150" t="s">
        <v>129</v>
      </c>
      <c r="C11" s="149" t="s">
        <v>340</v>
      </c>
      <c r="D11" s="149" t="s">
        <v>241</v>
      </c>
      <c r="E11" s="149" t="s">
        <v>339</v>
      </c>
      <c r="F11" s="149" t="s">
        <v>189</v>
      </c>
      <c r="G11" s="149" t="s">
        <v>214</v>
      </c>
      <c r="H11" s="149" t="s">
        <v>200</v>
      </c>
      <c r="I11" s="149" t="s">
        <v>332</v>
      </c>
      <c r="J11" s="149" t="s">
        <v>333</v>
      </c>
      <c r="K11" s="148">
        <v>37.9</v>
      </c>
      <c r="L11" s="153"/>
    </row>
    <row r="12" spans="1:12" x14ac:dyDescent="0.25">
      <c r="A12" s="160">
        <v>628451574248</v>
      </c>
      <c r="B12" s="154" t="s">
        <v>129</v>
      </c>
      <c r="C12" s="153" t="s">
        <v>341</v>
      </c>
      <c r="D12" s="153" t="s">
        <v>241</v>
      </c>
      <c r="E12" s="153" t="s">
        <v>339</v>
      </c>
      <c r="F12" s="153" t="s">
        <v>189</v>
      </c>
      <c r="G12" s="153" t="s">
        <v>214</v>
      </c>
      <c r="H12" s="153" t="s">
        <v>200</v>
      </c>
      <c r="I12" s="153" t="s">
        <v>332</v>
      </c>
      <c r="J12" s="153" t="s">
        <v>333</v>
      </c>
      <c r="K12" s="152">
        <v>44.9</v>
      </c>
      <c r="L12" s="153"/>
    </row>
    <row r="13" spans="1:12" x14ac:dyDescent="0.25">
      <c r="A13" s="160">
        <v>628639000859</v>
      </c>
      <c r="B13" s="154" t="s">
        <v>121</v>
      </c>
      <c r="C13" s="153" t="s">
        <v>342</v>
      </c>
      <c r="D13" s="153" t="s">
        <v>241</v>
      </c>
      <c r="E13" s="153" t="s">
        <v>343</v>
      </c>
      <c r="F13" s="153" t="s">
        <v>87</v>
      </c>
      <c r="G13" s="153" t="s">
        <v>87</v>
      </c>
      <c r="H13" s="153" t="s">
        <v>87</v>
      </c>
      <c r="I13" s="153" t="s">
        <v>332</v>
      </c>
      <c r="J13" s="153" t="s">
        <v>333</v>
      </c>
      <c r="K13" s="152">
        <v>34.5</v>
      </c>
      <c r="L13" s="153"/>
    </row>
    <row r="14" spans="1:12" x14ac:dyDescent="0.25">
      <c r="A14" s="159">
        <v>628639000866</v>
      </c>
      <c r="B14" s="150" t="s">
        <v>121</v>
      </c>
      <c r="C14" s="149" t="s">
        <v>15</v>
      </c>
      <c r="D14" s="149" t="s">
        <v>241</v>
      </c>
      <c r="E14" s="149" t="s">
        <v>343</v>
      </c>
      <c r="F14" s="149" t="s">
        <v>87</v>
      </c>
      <c r="G14" s="149" t="s">
        <v>87</v>
      </c>
      <c r="H14" s="149" t="s">
        <v>87</v>
      </c>
      <c r="I14" s="149" t="s">
        <v>332</v>
      </c>
      <c r="J14" s="149" t="s">
        <v>333</v>
      </c>
      <c r="K14" s="148">
        <v>59.9</v>
      </c>
      <c r="L14" s="153"/>
    </row>
    <row r="15" spans="1:12" x14ac:dyDescent="0.25">
      <c r="A15" s="160">
        <v>628639000873</v>
      </c>
      <c r="B15" s="154" t="s">
        <v>121</v>
      </c>
      <c r="C15" s="153" t="s">
        <v>14</v>
      </c>
      <c r="D15" s="153" t="s">
        <v>241</v>
      </c>
      <c r="E15" s="153" t="s">
        <v>343</v>
      </c>
      <c r="F15" s="153" t="s">
        <v>87</v>
      </c>
      <c r="G15" s="153" t="s">
        <v>87</v>
      </c>
      <c r="H15" s="153" t="s">
        <v>87</v>
      </c>
      <c r="I15" s="153" t="s">
        <v>332</v>
      </c>
      <c r="J15" s="153" t="s">
        <v>333</v>
      </c>
      <c r="K15" s="152">
        <v>41.1</v>
      </c>
      <c r="L15" s="153"/>
    </row>
    <row r="16" spans="1:12" x14ac:dyDescent="0.25">
      <c r="A16" s="159">
        <v>629108209148</v>
      </c>
      <c r="B16" s="150" t="s">
        <v>129</v>
      </c>
      <c r="C16" s="149" t="s">
        <v>344</v>
      </c>
      <c r="D16" s="149" t="s">
        <v>241</v>
      </c>
      <c r="E16" s="149" t="s">
        <v>345</v>
      </c>
      <c r="F16" s="149" t="s">
        <v>87</v>
      </c>
      <c r="G16" s="149" t="s">
        <v>87</v>
      </c>
      <c r="H16" s="149" t="s">
        <v>87</v>
      </c>
      <c r="I16" s="149" t="s">
        <v>332</v>
      </c>
      <c r="J16" s="149" t="s">
        <v>333</v>
      </c>
      <c r="K16" s="148">
        <v>34.9</v>
      </c>
      <c r="L16" s="153"/>
    </row>
    <row r="17" spans="1:12" x14ac:dyDescent="0.25">
      <c r="A17" s="159">
        <v>629108211141</v>
      </c>
      <c r="B17" s="150" t="s">
        <v>129</v>
      </c>
      <c r="C17" s="149" t="s">
        <v>346</v>
      </c>
      <c r="D17" s="149" t="s">
        <v>241</v>
      </c>
      <c r="E17" s="149" t="s">
        <v>345</v>
      </c>
      <c r="F17" s="149" t="s">
        <v>87</v>
      </c>
      <c r="G17" s="149" t="s">
        <v>87</v>
      </c>
      <c r="H17" s="149" t="s">
        <v>87</v>
      </c>
      <c r="I17" s="149" t="s">
        <v>332</v>
      </c>
      <c r="J17" s="149" t="s">
        <v>333</v>
      </c>
      <c r="K17" s="148">
        <v>29.9</v>
      </c>
      <c r="L17" s="153"/>
    </row>
    <row r="18" spans="1:12" x14ac:dyDescent="0.25">
      <c r="A18" s="159">
        <v>629108212148</v>
      </c>
      <c r="B18" s="150" t="s">
        <v>121</v>
      </c>
      <c r="C18" s="149" t="s">
        <v>347</v>
      </c>
      <c r="D18" s="149" t="s">
        <v>241</v>
      </c>
      <c r="E18" s="149" t="s">
        <v>345</v>
      </c>
      <c r="F18" s="149" t="s">
        <v>87</v>
      </c>
      <c r="G18" s="149" t="s">
        <v>87</v>
      </c>
      <c r="H18" s="149" t="s">
        <v>87</v>
      </c>
      <c r="I18" s="149" t="s">
        <v>332</v>
      </c>
      <c r="J18" s="149" t="s">
        <v>333</v>
      </c>
      <c r="K18" s="148">
        <v>29.9</v>
      </c>
      <c r="L18" s="153"/>
    </row>
    <row r="19" spans="1:12" x14ac:dyDescent="0.25">
      <c r="A19" s="159">
        <v>629108213145</v>
      </c>
      <c r="B19" s="150" t="s">
        <v>125</v>
      </c>
      <c r="C19" s="149" t="s">
        <v>348</v>
      </c>
      <c r="D19" s="149" t="s">
        <v>241</v>
      </c>
      <c r="E19" s="149" t="s">
        <v>345</v>
      </c>
      <c r="F19" s="149" t="s">
        <v>87</v>
      </c>
      <c r="G19" s="149" t="s">
        <v>87</v>
      </c>
      <c r="H19" s="149" t="s">
        <v>87</v>
      </c>
      <c r="I19" s="149" t="s">
        <v>332</v>
      </c>
      <c r="J19" s="149" t="s">
        <v>333</v>
      </c>
      <c r="K19" s="148">
        <v>29.9</v>
      </c>
      <c r="L19" s="153"/>
    </row>
    <row r="20" spans="1:12" x14ac:dyDescent="0.25">
      <c r="A20" s="159">
        <v>694144000424</v>
      </c>
      <c r="B20" s="150" t="s">
        <v>129</v>
      </c>
      <c r="C20" s="149" t="s">
        <v>349</v>
      </c>
      <c r="D20" s="149" t="s">
        <v>241</v>
      </c>
      <c r="E20" s="149" t="s">
        <v>196</v>
      </c>
      <c r="F20" s="149" t="s">
        <v>87</v>
      </c>
      <c r="G20" s="149" t="s">
        <v>87</v>
      </c>
      <c r="H20" s="149" t="s">
        <v>87</v>
      </c>
      <c r="I20" s="149" t="s">
        <v>332</v>
      </c>
      <c r="J20" s="149" t="s">
        <v>333</v>
      </c>
      <c r="K20" s="148">
        <v>22.2</v>
      </c>
      <c r="L20" s="153"/>
    </row>
    <row r="21" spans="1:12" x14ac:dyDescent="0.25">
      <c r="A21" s="159">
        <v>694144000431</v>
      </c>
      <c r="B21" s="150" t="s">
        <v>129</v>
      </c>
      <c r="C21" s="149" t="s">
        <v>21</v>
      </c>
      <c r="D21" s="149" t="s">
        <v>241</v>
      </c>
      <c r="E21" s="149" t="s">
        <v>196</v>
      </c>
      <c r="F21" s="149" t="s">
        <v>87</v>
      </c>
      <c r="G21" s="149" t="s">
        <v>87</v>
      </c>
      <c r="H21" s="149" t="s">
        <v>87</v>
      </c>
      <c r="I21" s="149" t="s">
        <v>332</v>
      </c>
      <c r="J21" s="149" t="s">
        <v>333</v>
      </c>
      <c r="K21" s="148">
        <v>22.2</v>
      </c>
      <c r="L21" s="153"/>
    </row>
    <row r="22" spans="1:12" x14ac:dyDescent="0.25">
      <c r="A22" s="160">
        <v>694144000448</v>
      </c>
      <c r="B22" s="154" t="s">
        <v>129</v>
      </c>
      <c r="C22" s="153" t="s">
        <v>27</v>
      </c>
      <c r="D22" s="153" t="s">
        <v>241</v>
      </c>
      <c r="E22" s="153" t="s">
        <v>196</v>
      </c>
      <c r="F22" s="153" t="s">
        <v>87</v>
      </c>
      <c r="G22" s="153" t="s">
        <v>87</v>
      </c>
      <c r="H22" s="153" t="s">
        <v>87</v>
      </c>
      <c r="I22" s="153" t="s">
        <v>332</v>
      </c>
      <c r="J22" s="153" t="s">
        <v>333</v>
      </c>
      <c r="K22" s="152">
        <v>22.2</v>
      </c>
      <c r="L22" s="153"/>
    </row>
    <row r="23" spans="1:12" x14ac:dyDescent="0.25">
      <c r="A23" s="159">
        <v>694144009694</v>
      </c>
      <c r="B23" s="150" t="s">
        <v>129</v>
      </c>
      <c r="C23" s="149" t="s">
        <v>16</v>
      </c>
      <c r="D23" s="149" t="s">
        <v>241</v>
      </c>
      <c r="E23" s="149" t="s">
        <v>350</v>
      </c>
      <c r="F23" s="149" t="s">
        <v>87</v>
      </c>
      <c r="G23" s="149" t="s">
        <v>87</v>
      </c>
      <c r="H23" s="149" t="s">
        <v>87</v>
      </c>
      <c r="I23" s="149" t="s">
        <v>332</v>
      </c>
      <c r="J23" s="149" t="s">
        <v>333</v>
      </c>
      <c r="K23" s="148">
        <v>50.2</v>
      </c>
      <c r="L23" s="153"/>
    </row>
    <row r="24" spans="1:12" x14ac:dyDescent="0.25">
      <c r="A24" s="160">
        <v>694144009991</v>
      </c>
      <c r="B24" s="154" t="s">
        <v>129</v>
      </c>
      <c r="C24" s="153" t="s">
        <v>351</v>
      </c>
      <c r="D24" s="153" t="s">
        <v>241</v>
      </c>
      <c r="E24" s="153" t="s">
        <v>196</v>
      </c>
      <c r="F24" s="153" t="s">
        <v>87</v>
      </c>
      <c r="G24" s="153" t="s">
        <v>87</v>
      </c>
      <c r="H24" s="153" t="s">
        <v>87</v>
      </c>
      <c r="I24" s="153" t="s">
        <v>332</v>
      </c>
      <c r="J24" s="153" t="s">
        <v>333</v>
      </c>
      <c r="K24" s="152">
        <v>50.2</v>
      </c>
      <c r="L24" s="153"/>
    </row>
    <row r="25" spans="1:12" x14ac:dyDescent="0.25">
      <c r="A25" s="159">
        <v>694144010010</v>
      </c>
      <c r="B25" s="150" t="s">
        <v>129</v>
      </c>
      <c r="C25" s="149" t="s">
        <v>352</v>
      </c>
      <c r="D25" s="149" t="s">
        <v>241</v>
      </c>
      <c r="E25" s="149" t="s">
        <v>196</v>
      </c>
      <c r="F25" s="149" t="s">
        <v>87</v>
      </c>
      <c r="G25" s="149" t="s">
        <v>87</v>
      </c>
      <c r="H25" s="149" t="s">
        <v>87</v>
      </c>
      <c r="I25" s="149" t="s">
        <v>332</v>
      </c>
      <c r="J25" s="149" t="s">
        <v>333</v>
      </c>
      <c r="K25" s="148">
        <v>55</v>
      </c>
      <c r="L25" s="153"/>
    </row>
    <row r="26" spans="1:12" x14ac:dyDescent="0.25">
      <c r="A26" s="160">
        <v>697238116049</v>
      </c>
      <c r="B26" s="154" t="s">
        <v>129</v>
      </c>
      <c r="C26" s="153" t="s">
        <v>353</v>
      </c>
      <c r="D26" s="153" t="s">
        <v>241</v>
      </c>
      <c r="E26" s="153" t="s">
        <v>354</v>
      </c>
      <c r="F26" s="153" t="s">
        <v>87</v>
      </c>
      <c r="G26" s="153" t="s">
        <v>87</v>
      </c>
      <c r="H26" s="153" t="s">
        <v>87</v>
      </c>
      <c r="I26" s="153" t="s">
        <v>355</v>
      </c>
      <c r="J26" s="153" t="s">
        <v>333</v>
      </c>
      <c r="K26" s="152">
        <v>70</v>
      </c>
      <c r="L26" s="153"/>
    </row>
    <row r="27" spans="1:12" x14ac:dyDescent="0.25">
      <c r="A27" s="160">
        <v>814559000011</v>
      </c>
      <c r="B27" s="154" t="s">
        <v>121</v>
      </c>
      <c r="C27" s="153" t="s">
        <v>13</v>
      </c>
      <c r="D27" s="153" t="s">
        <v>241</v>
      </c>
      <c r="E27" s="153" t="s">
        <v>222</v>
      </c>
      <c r="F27" s="153" t="s">
        <v>87</v>
      </c>
      <c r="G27" s="153" t="s">
        <v>87</v>
      </c>
      <c r="H27" s="153" t="s">
        <v>87</v>
      </c>
      <c r="I27" s="153" t="s">
        <v>332</v>
      </c>
      <c r="J27" s="153" t="s">
        <v>333</v>
      </c>
      <c r="K27" s="152">
        <v>39</v>
      </c>
      <c r="L27" s="153"/>
    </row>
    <row r="28" spans="1:12" x14ac:dyDescent="0.25">
      <c r="A28" s="160">
        <v>814559000028</v>
      </c>
      <c r="B28" s="154" t="s">
        <v>129</v>
      </c>
      <c r="C28" s="153" t="s">
        <v>22</v>
      </c>
      <c r="D28" s="153" t="s">
        <v>241</v>
      </c>
      <c r="E28" s="153" t="s">
        <v>222</v>
      </c>
      <c r="F28" s="153" t="s">
        <v>87</v>
      </c>
      <c r="G28" s="153" t="s">
        <v>87</v>
      </c>
      <c r="H28" s="153" t="s">
        <v>87</v>
      </c>
      <c r="I28" s="153" t="s">
        <v>332</v>
      </c>
      <c r="J28" s="153" t="s">
        <v>333</v>
      </c>
      <c r="K28" s="152">
        <v>49</v>
      </c>
      <c r="L28" s="153"/>
    </row>
    <row r="29" spans="1:12" x14ac:dyDescent="0.25">
      <c r="A29" s="159">
        <v>814559000066</v>
      </c>
      <c r="B29" s="150" t="s">
        <v>125</v>
      </c>
      <c r="C29" s="149" t="s">
        <v>356</v>
      </c>
      <c r="D29" s="149" t="s">
        <v>241</v>
      </c>
      <c r="E29" s="149" t="s">
        <v>222</v>
      </c>
      <c r="F29" s="149" t="s">
        <v>87</v>
      </c>
      <c r="G29" s="149" t="s">
        <v>87</v>
      </c>
      <c r="H29" s="149" t="s">
        <v>87</v>
      </c>
      <c r="I29" s="149" t="s">
        <v>332</v>
      </c>
      <c r="J29" s="149" t="s">
        <v>333</v>
      </c>
      <c r="K29" s="148">
        <v>36</v>
      </c>
      <c r="L29" s="153"/>
    </row>
    <row r="30" spans="1:12" x14ac:dyDescent="0.25">
      <c r="A30" s="160">
        <v>826966011542</v>
      </c>
      <c r="B30" s="154" t="s">
        <v>129</v>
      </c>
      <c r="C30" s="153" t="s">
        <v>19</v>
      </c>
      <c r="D30" s="153" t="s">
        <v>241</v>
      </c>
      <c r="E30" s="153" t="s">
        <v>357</v>
      </c>
      <c r="F30" s="153" t="s">
        <v>87</v>
      </c>
      <c r="G30" s="153" t="s">
        <v>87</v>
      </c>
      <c r="H30" s="153" t="s">
        <v>87</v>
      </c>
      <c r="I30" s="153" t="s">
        <v>358</v>
      </c>
      <c r="J30" s="153" t="s">
        <v>333</v>
      </c>
      <c r="K30" s="152">
        <v>32.9</v>
      </c>
      <c r="L30" s="153"/>
    </row>
    <row r="31" spans="1:12" x14ac:dyDescent="0.25">
      <c r="A31" s="159">
        <v>827763001903</v>
      </c>
      <c r="B31" s="150" t="s">
        <v>125</v>
      </c>
      <c r="C31" s="149" t="s">
        <v>359</v>
      </c>
      <c r="D31" s="149" t="s">
        <v>360</v>
      </c>
      <c r="E31" s="149" t="s">
        <v>361</v>
      </c>
      <c r="F31" s="149" t="s">
        <v>331</v>
      </c>
      <c r="G31" s="149" t="s">
        <v>87</v>
      </c>
      <c r="H31" s="149" t="s">
        <v>87</v>
      </c>
      <c r="I31" s="149" t="s">
        <v>332</v>
      </c>
      <c r="J31" s="149" t="s">
        <v>333</v>
      </c>
      <c r="K31" s="148">
        <v>41.9</v>
      </c>
      <c r="L31" s="153"/>
    </row>
    <row r="32" spans="1:12" x14ac:dyDescent="0.25">
      <c r="A32" s="160">
        <v>841226000067</v>
      </c>
      <c r="B32" s="154" t="s">
        <v>125</v>
      </c>
      <c r="C32" s="153" t="s">
        <v>362</v>
      </c>
      <c r="D32" s="153" t="s">
        <v>363</v>
      </c>
      <c r="E32" s="153" t="s">
        <v>364</v>
      </c>
      <c r="F32" s="153" t="s">
        <v>181</v>
      </c>
      <c r="G32" s="153" t="s">
        <v>87</v>
      </c>
      <c r="H32" s="153" t="s">
        <v>87</v>
      </c>
      <c r="I32" s="153" t="s">
        <v>358</v>
      </c>
      <c r="J32" s="153" t="s">
        <v>333</v>
      </c>
      <c r="K32" s="152">
        <v>29.6</v>
      </c>
      <c r="L32" s="153"/>
    </row>
    <row r="33" spans="1:12" x14ac:dyDescent="0.25">
      <c r="A33" s="160">
        <v>847023001160</v>
      </c>
      <c r="B33" s="154" t="s">
        <v>125</v>
      </c>
      <c r="C33" s="153" t="s">
        <v>365</v>
      </c>
      <c r="D33" s="153" t="s">
        <v>366</v>
      </c>
      <c r="E33" s="153" t="s">
        <v>367</v>
      </c>
      <c r="F33" s="153" t="s">
        <v>87</v>
      </c>
      <c r="G33" s="153" t="s">
        <v>87</v>
      </c>
      <c r="H33" s="153" t="s">
        <v>87</v>
      </c>
      <c r="I33" s="153" t="s">
        <v>358</v>
      </c>
      <c r="J33" s="153" t="s">
        <v>333</v>
      </c>
      <c r="K33" s="152">
        <v>30</v>
      </c>
      <c r="L33" s="153"/>
    </row>
    <row r="34" spans="1:12" x14ac:dyDescent="0.25">
      <c r="A34" s="160">
        <v>850119000008</v>
      </c>
      <c r="B34" s="154" t="s">
        <v>129</v>
      </c>
      <c r="C34" s="153" t="s">
        <v>22</v>
      </c>
      <c r="D34" s="153" t="s">
        <v>368</v>
      </c>
      <c r="E34" s="153" t="s">
        <v>369</v>
      </c>
      <c r="F34" s="153" t="s">
        <v>87</v>
      </c>
      <c r="G34" s="153" t="s">
        <v>87</v>
      </c>
      <c r="H34" s="153" t="s">
        <v>87</v>
      </c>
      <c r="I34" s="153" t="s">
        <v>332</v>
      </c>
      <c r="J34" s="153" t="s">
        <v>333</v>
      </c>
      <c r="K34" s="152">
        <v>44</v>
      </c>
      <c r="L34" s="153"/>
    </row>
    <row r="35" spans="1:12" x14ac:dyDescent="0.25">
      <c r="A35" s="160">
        <v>850119000510</v>
      </c>
      <c r="B35" s="154" t="s">
        <v>129</v>
      </c>
      <c r="C35" s="153" t="s">
        <v>25</v>
      </c>
      <c r="D35" s="153" t="s">
        <v>368</v>
      </c>
      <c r="E35" s="153" t="s">
        <v>369</v>
      </c>
      <c r="F35" s="153" t="s">
        <v>87</v>
      </c>
      <c r="G35" s="153" t="s">
        <v>87</v>
      </c>
      <c r="H35" s="153" t="s">
        <v>87</v>
      </c>
      <c r="I35" s="153" t="s">
        <v>370</v>
      </c>
      <c r="J35" s="153" t="s">
        <v>333</v>
      </c>
      <c r="K35" s="152">
        <v>19.899999999999999</v>
      </c>
      <c r="L35" s="153"/>
    </row>
    <row r="36" spans="1:12" x14ac:dyDescent="0.25">
      <c r="A36" s="160">
        <v>870814007515</v>
      </c>
      <c r="B36" s="154" t="s">
        <v>129</v>
      </c>
      <c r="C36" s="153" t="s">
        <v>338</v>
      </c>
      <c r="D36" s="153" t="s">
        <v>241</v>
      </c>
      <c r="E36" s="153" t="s">
        <v>371</v>
      </c>
      <c r="F36" s="153" t="s">
        <v>87</v>
      </c>
      <c r="G36" s="153" t="s">
        <v>87</v>
      </c>
      <c r="H36" s="153" t="s">
        <v>87</v>
      </c>
      <c r="I36" s="153" t="s">
        <v>332</v>
      </c>
      <c r="J36" s="153" t="s">
        <v>333</v>
      </c>
      <c r="K36" s="152">
        <v>44.9</v>
      </c>
      <c r="L36" s="153"/>
    </row>
    <row r="37" spans="1:12" x14ac:dyDescent="0.25">
      <c r="A37" s="160">
        <v>870814007522</v>
      </c>
      <c r="B37" s="154" t="s">
        <v>129</v>
      </c>
      <c r="C37" s="153" t="s">
        <v>372</v>
      </c>
      <c r="D37" s="153" t="s">
        <v>241</v>
      </c>
      <c r="E37" s="153" t="s">
        <v>371</v>
      </c>
      <c r="F37" s="153" t="s">
        <v>189</v>
      </c>
      <c r="G37" s="153" t="s">
        <v>87</v>
      </c>
      <c r="H37" s="153" t="s">
        <v>87</v>
      </c>
      <c r="I37" s="153" t="s">
        <v>332</v>
      </c>
      <c r="J37" s="153" t="s">
        <v>333</v>
      </c>
      <c r="K37" s="152">
        <v>41.9</v>
      </c>
      <c r="L37" s="153"/>
    </row>
    <row r="38" spans="1:12" x14ac:dyDescent="0.25">
      <c r="A38" s="160">
        <v>870814008222</v>
      </c>
      <c r="B38" s="154" t="s">
        <v>129</v>
      </c>
      <c r="C38" s="153" t="s">
        <v>18</v>
      </c>
      <c r="D38" s="153" t="s">
        <v>241</v>
      </c>
      <c r="E38" s="153" t="s">
        <v>371</v>
      </c>
      <c r="F38" s="153" t="s">
        <v>189</v>
      </c>
      <c r="G38" s="153" t="s">
        <v>87</v>
      </c>
      <c r="H38" s="153" t="s">
        <v>87</v>
      </c>
      <c r="I38" s="153" t="s">
        <v>332</v>
      </c>
      <c r="J38" s="153" t="s">
        <v>333</v>
      </c>
      <c r="K38" s="152">
        <v>24.9</v>
      </c>
      <c r="L38" s="153"/>
    </row>
    <row r="39" spans="1:12" x14ac:dyDescent="0.25">
      <c r="A39" s="159">
        <v>875429000074</v>
      </c>
      <c r="B39" s="150" t="s">
        <v>129</v>
      </c>
      <c r="C39" s="149" t="s">
        <v>373</v>
      </c>
      <c r="D39" s="149" t="s">
        <v>241</v>
      </c>
      <c r="E39" s="149" t="s">
        <v>374</v>
      </c>
      <c r="F39" s="149" t="s">
        <v>87</v>
      </c>
      <c r="G39" s="149" t="s">
        <v>87</v>
      </c>
      <c r="H39" s="149" t="s">
        <v>87</v>
      </c>
      <c r="I39" s="149" t="s">
        <v>332</v>
      </c>
      <c r="J39" s="149" t="s">
        <v>333</v>
      </c>
      <c r="K39" s="148">
        <v>39</v>
      </c>
      <c r="L39" s="153"/>
    </row>
    <row r="40" spans="1:12" x14ac:dyDescent="0.25">
      <c r="A40" s="159">
        <v>875429000081</v>
      </c>
      <c r="B40" s="150" t="s">
        <v>129</v>
      </c>
      <c r="C40" s="149" t="s">
        <v>336</v>
      </c>
      <c r="D40" s="149" t="s">
        <v>241</v>
      </c>
      <c r="E40" s="149" t="s">
        <v>374</v>
      </c>
      <c r="F40" s="149" t="s">
        <v>87</v>
      </c>
      <c r="G40" s="149" t="s">
        <v>87</v>
      </c>
      <c r="H40" s="149" t="s">
        <v>87</v>
      </c>
      <c r="I40" s="149" t="s">
        <v>332</v>
      </c>
      <c r="J40" s="149" t="s">
        <v>333</v>
      </c>
      <c r="K40" s="148">
        <v>37.5</v>
      </c>
      <c r="L40" s="153"/>
    </row>
    <row r="41" spans="1:12" ht="15.75" thickBot="1" x14ac:dyDescent="0.3"/>
    <row r="42" spans="1:12" x14ac:dyDescent="0.25">
      <c r="A42" s="471" t="s">
        <v>375</v>
      </c>
      <c r="B42" s="472"/>
      <c r="C42" s="472"/>
      <c r="D42" s="472"/>
      <c r="E42" s="472"/>
      <c r="F42" s="472"/>
      <c r="G42" s="472"/>
      <c r="H42" s="472"/>
      <c r="I42" s="472"/>
      <c r="J42" s="472"/>
      <c r="K42" s="472"/>
      <c r="L42" s="473"/>
    </row>
    <row r="43" spans="1:12" ht="15.75" thickBot="1" x14ac:dyDescent="0.3">
      <c r="A43" s="474"/>
      <c r="B43" s="475"/>
      <c r="C43" s="475"/>
      <c r="D43" s="475"/>
      <c r="E43" s="475"/>
      <c r="F43" s="475"/>
      <c r="G43" s="475"/>
      <c r="H43" s="475"/>
      <c r="I43" s="475"/>
      <c r="J43" s="475"/>
      <c r="K43" s="475"/>
      <c r="L43" s="476"/>
    </row>
    <row r="45" spans="1:12" x14ac:dyDescent="0.25">
      <c r="A45" s="158" t="s">
        <v>169</v>
      </c>
      <c r="B45" s="157" t="s">
        <v>171</v>
      </c>
      <c r="C45" s="156" t="s">
        <v>168</v>
      </c>
      <c r="D45" s="156" t="s">
        <v>173</v>
      </c>
      <c r="E45" s="156" t="s">
        <v>4</v>
      </c>
      <c r="F45" s="156" t="s">
        <v>174</v>
      </c>
      <c r="G45" s="156" t="s">
        <v>122</v>
      </c>
      <c r="H45" s="156" t="s">
        <v>326</v>
      </c>
      <c r="I45" s="156" t="s">
        <v>5</v>
      </c>
      <c r="J45" s="156" t="s">
        <v>327</v>
      </c>
      <c r="K45" s="156" t="s">
        <v>6</v>
      </c>
    </row>
    <row r="46" spans="1:12" x14ac:dyDescent="0.25">
      <c r="A46" s="160">
        <v>627560050001</v>
      </c>
      <c r="B46" s="154" t="s">
        <v>129</v>
      </c>
      <c r="C46" s="153" t="s">
        <v>376</v>
      </c>
      <c r="D46" s="153" t="s">
        <v>241</v>
      </c>
      <c r="E46" s="153" t="s">
        <v>377</v>
      </c>
      <c r="F46" s="153" t="s">
        <v>87</v>
      </c>
      <c r="G46" s="153" t="s">
        <v>87</v>
      </c>
      <c r="H46" s="153" t="s">
        <v>87</v>
      </c>
      <c r="I46" s="153" t="s">
        <v>355</v>
      </c>
      <c r="J46" s="153" t="s">
        <v>378</v>
      </c>
      <c r="K46" s="152">
        <v>29</v>
      </c>
    </row>
    <row r="47" spans="1:12" x14ac:dyDescent="0.25">
      <c r="A47" s="160">
        <v>627560050100</v>
      </c>
      <c r="B47" s="154" t="s">
        <v>129</v>
      </c>
      <c r="C47" s="153" t="s">
        <v>49</v>
      </c>
      <c r="D47" s="153" t="s">
        <v>241</v>
      </c>
      <c r="E47" s="153" t="s">
        <v>377</v>
      </c>
      <c r="F47" s="153" t="s">
        <v>87</v>
      </c>
      <c r="G47" s="153" t="s">
        <v>87</v>
      </c>
      <c r="H47" s="153" t="s">
        <v>87</v>
      </c>
      <c r="I47" s="153" t="s">
        <v>355</v>
      </c>
      <c r="J47" s="153" t="s">
        <v>378</v>
      </c>
      <c r="K47" s="152">
        <v>26.8</v>
      </c>
    </row>
    <row r="48" spans="1:12" x14ac:dyDescent="0.25">
      <c r="A48" s="160">
        <v>688083002465</v>
      </c>
      <c r="B48" s="154" t="s">
        <v>129</v>
      </c>
      <c r="C48" s="153" t="s">
        <v>322</v>
      </c>
      <c r="D48" s="153" t="s">
        <v>241</v>
      </c>
      <c r="E48" s="153" t="s">
        <v>324</v>
      </c>
      <c r="F48" s="153" t="s">
        <v>181</v>
      </c>
      <c r="G48" s="153" t="s">
        <v>87</v>
      </c>
      <c r="H48" s="153" t="s">
        <v>87</v>
      </c>
      <c r="I48" s="153" t="s">
        <v>358</v>
      </c>
      <c r="J48" s="153" t="s">
        <v>378</v>
      </c>
      <c r="K48" s="152">
        <v>35</v>
      </c>
    </row>
    <row r="49" spans="1:12" x14ac:dyDescent="0.25">
      <c r="A49" s="160">
        <v>688083002472</v>
      </c>
      <c r="B49" s="154" t="s">
        <v>121</v>
      </c>
      <c r="C49" s="153" t="s">
        <v>42</v>
      </c>
      <c r="D49" s="153" t="s">
        <v>241</v>
      </c>
      <c r="E49" s="153" t="s">
        <v>324</v>
      </c>
      <c r="F49" s="153" t="s">
        <v>181</v>
      </c>
      <c r="G49" s="153" t="s">
        <v>87</v>
      </c>
      <c r="H49" s="153" t="s">
        <v>87</v>
      </c>
      <c r="I49" s="153" t="s">
        <v>358</v>
      </c>
      <c r="J49" s="153" t="s">
        <v>378</v>
      </c>
      <c r="K49" s="152">
        <v>35</v>
      </c>
    </row>
    <row r="50" spans="1:12" x14ac:dyDescent="0.25">
      <c r="A50" s="159">
        <v>688083002489</v>
      </c>
      <c r="B50" s="150" t="s">
        <v>125</v>
      </c>
      <c r="C50" s="149" t="s">
        <v>45</v>
      </c>
      <c r="D50" s="149" t="s">
        <v>241</v>
      </c>
      <c r="E50" s="149" t="s">
        <v>324</v>
      </c>
      <c r="F50" s="149" t="s">
        <v>181</v>
      </c>
      <c r="G50" s="149" t="s">
        <v>87</v>
      </c>
      <c r="H50" s="149" t="s">
        <v>87</v>
      </c>
      <c r="I50" s="149" t="s">
        <v>358</v>
      </c>
      <c r="J50" s="149" t="s">
        <v>378</v>
      </c>
      <c r="K50" s="148">
        <v>35</v>
      </c>
    </row>
    <row r="51" spans="1:12" x14ac:dyDescent="0.25">
      <c r="A51" s="159">
        <v>688083002687</v>
      </c>
      <c r="B51" s="150" t="s">
        <v>129</v>
      </c>
      <c r="C51" s="149" t="s">
        <v>379</v>
      </c>
      <c r="D51" s="149" t="s">
        <v>380</v>
      </c>
      <c r="E51" s="149" t="s">
        <v>239</v>
      </c>
      <c r="F51" s="149" t="s">
        <v>197</v>
      </c>
      <c r="G51" s="149" t="s">
        <v>87</v>
      </c>
      <c r="H51" s="149" t="s">
        <v>87</v>
      </c>
      <c r="I51" s="149" t="s">
        <v>358</v>
      </c>
      <c r="J51" s="149" t="s">
        <v>378</v>
      </c>
      <c r="K51" s="148">
        <v>40</v>
      </c>
    </row>
    <row r="52" spans="1:12" x14ac:dyDescent="0.25">
      <c r="A52" s="159">
        <v>688083004506</v>
      </c>
      <c r="B52" s="150" t="s">
        <v>129</v>
      </c>
      <c r="C52" s="149" t="s">
        <v>381</v>
      </c>
      <c r="D52" s="149" t="s">
        <v>241</v>
      </c>
      <c r="E52" s="149" t="s">
        <v>239</v>
      </c>
      <c r="F52" s="149" t="s">
        <v>87</v>
      </c>
      <c r="G52" s="149" t="s">
        <v>87</v>
      </c>
      <c r="H52" s="149" t="s">
        <v>87</v>
      </c>
      <c r="I52" s="149" t="s">
        <v>358</v>
      </c>
      <c r="J52" s="149" t="s">
        <v>378</v>
      </c>
      <c r="K52" s="148">
        <v>27.9</v>
      </c>
    </row>
    <row r="53" spans="1:12" x14ac:dyDescent="0.25">
      <c r="A53" s="160">
        <v>694144001834</v>
      </c>
      <c r="B53" s="154" t="s">
        <v>129</v>
      </c>
      <c r="C53" s="153" t="s">
        <v>21</v>
      </c>
      <c r="D53" s="153" t="s">
        <v>241</v>
      </c>
      <c r="E53" s="153" t="s">
        <v>196</v>
      </c>
      <c r="F53" s="153" t="s">
        <v>87</v>
      </c>
      <c r="G53" s="153" t="s">
        <v>87</v>
      </c>
      <c r="H53" s="153" t="s">
        <v>87</v>
      </c>
      <c r="I53" s="153" t="s">
        <v>355</v>
      </c>
      <c r="J53" s="153" t="s">
        <v>378</v>
      </c>
      <c r="K53" s="152">
        <v>33.9</v>
      </c>
    </row>
    <row r="54" spans="1:12" x14ac:dyDescent="0.25">
      <c r="A54" s="159">
        <v>694144001858</v>
      </c>
      <c r="B54" s="150" t="s">
        <v>129</v>
      </c>
      <c r="C54" s="149" t="s">
        <v>382</v>
      </c>
      <c r="D54" s="149" t="s">
        <v>241</v>
      </c>
      <c r="E54" s="149" t="s">
        <v>196</v>
      </c>
      <c r="F54" s="149" t="s">
        <v>87</v>
      </c>
      <c r="G54" s="149" t="s">
        <v>87</v>
      </c>
      <c r="H54" s="149" t="s">
        <v>87</v>
      </c>
      <c r="I54" s="149" t="s">
        <v>355</v>
      </c>
      <c r="J54" s="149" t="s">
        <v>378</v>
      </c>
      <c r="K54" s="148">
        <v>33.9</v>
      </c>
    </row>
    <row r="55" spans="1:12" x14ac:dyDescent="0.25">
      <c r="A55" s="159">
        <v>694144001872</v>
      </c>
      <c r="B55" s="150" t="s">
        <v>129</v>
      </c>
      <c r="C55" s="149" t="s">
        <v>27</v>
      </c>
      <c r="D55" s="149" t="s">
        <v>241</v>
      </c>
      <c r="E55" s="149" t="s">
        <v>196</v>
      </c>
      <c r="F55" s="149" t="s">
        <v>87</v>
      </c>
      <c r="G55" s="149" t="s">
        <v>87</v>
      </c>
      <c r="H55" s="149" t="s">
        <v>87</v>
      </c>
      <c r="I55" s="149" t="s">
        <v>355</v>
      </c>
      <c r="J55" s="149" t="s">
        <v>378</v>
      </c>
      <c r="K55" s="148">
        <v>33.9</v>
      </c>
    </row>
    <row r="56" spans="1:12" x14ac:dyDescent="0.25">
      <c r="A56" s="160">
        <v>694144001896</v>
      </c>
      <c r="B56" s="154" t="s">
        <v>129</v>
      </c>
      <c r="C56" s="153" t="s">
        <v>376</v>
      </c>
      <c r="D56" s="153" t="s">
        <v>241</v>
      </c>
      <c r="E56" s="153" t="s">
        <v>383</v>
      </c>
      <c r="F56" s="153" t="s">
        <v>87</v>
      </c>
      <c r="G56" s="153" t="s">
        <v>87</v>
      </c>
      <c r="H56" s="153" t="s">
        <v>87</v>
      </c>
      <c r="I56" s="153" t="s">
        <v>355</v>
      </c>
      <c r="J56" s="153" t="s">
        <v>378</v>
      </c>
      <c r="K56" s="152">
        <v>34.200000000000003</v>
      </c>
    </row>
    <row r="57" spans="1:12" x14ac:dyDescent="0.25">
      <c r="A57" s="159">
        <v>697238118012</v>
      </c>
      <c r="B57" s="150" t="s">
        <v>129</v>
      </c>
      <c r="C57" s="149" t="s">
        <v>384</v>
      </c>
      <c r="D57" s="149" t="s">
        <v>241</v>
      </c>
      <c r="E57" s="149" t="s">
        <v>377</v>
      </c>
      <c r="F57" s="149" t="s">
        <v>87</v>
      </c>
      <c r="G57" s="149" t="s">
        <v>87</v>
      </c>
      <c r="H57" s="149" t="s">
        <v>87</v>
      </c>
      <c r="I57" s="149" t="s">
        <v>385</v>
      </c>
      <c r="J57" s="149" t="s">
        <v>378</v>
      </c>
      <c r="K57" s="148">
        <v>49.9</v>
      </c>
    </row>
    <row r="58" spans="1:12" x14ac:dyDescent="0.25">
      <c r="A58" s="159">
        <v>814559000035</v>
      </c>
      <c r="B58" s="150" t="s">
        <v>121</v>
      </c>
      <c r="C58" s="149" t="s">
        <v>43</v>
      </c>
      <c r="D58" s="149" t="s">
        <v>241</v>
      </c>
      <c r="E58" s="149" t="s">
        <v>222</v>
      </c>
      <c r="F58" s="149" t="s">
        <v>87</v>
      </c>
      <c r="G58" s="149" t="s">
        <v>87</v>
      </c>
      <c r="H58" s="149" t="s">
        <v>87</v>
      </c>
      <c r="I58" s="149" t="s">
        <v>358</v>
      </c>
      <c r="J58" s="149" t="s">
        <v>378</v>
      </c>
      <c r="K58" s="148">
        <v>39</v>
      </c>
    </row>
    <row r="59" spans="1:12" x14ac:dyDescent="0.25">
      <c r="A59" s="160">
        <v>814559000042</v>
      </c>
      <c r="B59" s="154" t="s">
        <v>129</v>
      </c>
      <c r="C59" s="153" t="s">
        <v>47</v>
      </c>
      <c r="D59" s="153" t="s">
        <v>241</v>
      </c>
      <c r="E59" s="153" t="s">
        <v>222</v>
      </c>
      <c r="F59" s="153" t="s">
        <v>87</v>
      </c>
      <c r="G59" s="153" t="s">
        <v>87</v>
      </c>
      <c r="H59" s="153" t="s">
        <v>87</v>
      </c>
      <c r="I59" s="153" t="s">
        <v>358</v>
      </c>
      <c r="J59" s="153" t="s">
        <v>378</v>
      </c>
      <c r="K59" s="152">
        <v>39</v>
      </c>
    </row>
    <row r="60" spans="1:12" x14ac:dyDescent="0.25">
      <c r="A60" s="160">
        <v>814559000059</v>
      </c>
      <c r="B60" s="154" t="s">
        <v>125</v>
      </c>
      <c r="C60" s="153" t="s">
        <v>44</v>
      </c>
      <c r="D60" s="153" t="s">
        <v>241</v>
      </c>
      <c r="E60" s="153" t="s">
        <v>222</v>
      </c>
      <c r="F60" s="153" t="s">
        <v>87</v>
      </c>
      <c r="G60" s="153" t="s">
        <v>87</v>
      </c>
      <c r="H60" s="153" t="s">
        <v>87</v>
      </c>
      <c r="I60" s="153" t="s">
        <v>358</v>
      </c>
      <c r="J60" s="153" t="s">
        <v>378</v>
      </c>
      <c r="K60" s="152">
        <v>33</v>
      </c>
    </row>
    <row r="61" spans="1:12" x14ac:dyDescent="0.25">
      <c r="A61" s="159">
        <v>850119000312</v>
      </c>
      <c r="B61" s="150" t="s">
        <v>129</v>
      </c>
      <c r="C61" s="149" t="s">
        <v>386</v>
      </c>
      <c r="D61" s="149" t="s">
        <v>368</v>
      </c>
      <c r="E61" s="149" t="s">
        <v>369</v>
      </c>
      <c r="F61" s="149" t="s">
        <v>87</v>
      </c>
      <c r="G61" s="149" t="s">
        <v>87</v>
      </c>
      <c r="H61" s="149" t="s">
        <v>87</v>
      </c>
      <c r="I61" s="149" t="s">
        <v>355</v>
      </c>
      <c r="J61" s="149" t="s">
        <v>378</v>
      </c>
      <c r="K61" s="148">
        <v>34.200000000000003</v>
      </c>
    </row>
    <row r="62" spans="1:12" ht="15.75" thickBot="1" x14ac:dyDescent="0.3"/>
    <row r="63" spans="1:12" x14ac:dyDescent="0.25">
      <c r="A63" s="471" t="s">
        <v>387</v>
      </c>
      <c r="B63" s="472"/>
      <c r="C63" s="472"/>
      <c r="D63" s="472"/>
      <c r="E63" s="472"/>
      <c r="F63" s="472"/>
      <c r="G63" s="472"/>
      <c r="H63" s="472"/>
      <c r="I63" s="472"/>
      <c r="J63" s="472"/>
      <c r="K63" s="472"/>
      <c r="L63" s="473"/>
    </row>
    <row r="64" spans="1:12" ht="15.75" thickBot="1" x14ac:dyDescent="0.3">
      <c r="A64" s="474"/>
      <c r="B64" s="475"/>
      <c r="C64" s="475"/>
      <c r="D64" s="475"/>
      <c r="E64" s="475"/>
      <c r="F64" s="475"/>
      <c r="G64" s="475"/>
      <c r="H64" s="475"/>
      <c r="I64" s="475"/>
      <c r="J64" s="475"/>
      <c r="K64" s="475"/>
      <c r="L64" s="476"/>
    </row>
    <row r="66" spans="1:11" x14ac:dyDescent="0.25">
      <c r="A66" s="158" t="s">
        <v>169</v>
      </c>
      <c r="B66" s="157" t="s">
        <v>171</v>
      </c>
      <c r="C66" s="156" t="s">
        <v>168</v>
      </c>
      <c r="D66" s="156" t="s">
        <v>173</v>
      </c>
      <c r="E66" s="156" t="s">
        <v>4</v>
      </c>
      <c r="F66" s="156" t="s">
        <v>174</v>
      </c>
      <c r="G66" s="156" t="s">
        <v>122</v>
      </c>
      <c r="H66" s="156" t="s">
        <v>326</v>
      </c>
      <c r="I66" s="156" t="s">
        <v>5</v>
      </c>
      <c r="J66" s="156" t="s">
        <v>327</v>
      </c>
      <c r="K66" s="156" t="s">
        <v>6</v>
      </c>
    </row>
    <row r="67" spans="1:11" x14ac:dyDescent="0.25">
      <c r="A67" s="161" t="s">
        <v>388</v>
      </c>
      <c r="B67" s="154" t="s">
        <v>129</v>
      </c>
      <c r="C67" s="153" t="s">
        <v>32</v>
      </c>
      <c r="D67" s="153" t="s">
        <v>241</v>
      </c>
      <c r="E67" s="153" t="s">
        <v>314</v>
      </c>
      <c r="F67" s="153" t="s">
        <v>87</v>
      </c>
      <c r="G67" s="153" t="s">
        <v>87</v>
      </c>
      <c r="H67" s="153" t="s">
        <v>87</v>
      </c>
      <c r="I67" s="153" t="s">
        <v>389</v>
      </c>
      <c r="J67" s="153" t="s">
        <v>390</v>
      </c>
      <c r="K67" s="152">
        <v>14.9</v>
      </c>
    </row>
    <row r="68" spans="1:11" x14ac:dyDescent="0.25">
      <c r="A68" s="161" t="s">
        <v>391</v>
      </c>
      <c r="B68" s="154" t="s">
        <v>129</v>
      </c>
      <c r="C68" s="153" t="s">
        <v>392</v>
      </c>
      <c r="D68" s="153" t="s">
        <v>241</v>
      </c>
      <c r="E68" s="153" t="s">
        <v>314</v>
      </c>
      <c r="F68" s="153" t="s">
        <v>87</v>
      </c>
      <c r="G68" s="153" t="s">
        <v>87</v>
      </c>
      <c r="H68" s="153" t="s">
        <v>87</v>
      </c>
      <c r="I68" s="153" t="s">
        <v>389</v>
      </c>
      <c r="J68" s="153" t="s">
        <v>390</v>
      </c>
      <c r="K68" s="152">
        <v>14.9</v>
      </c>
    </row>
    <row r="69" spans="1:11" x14ac:dyDescent="0.25">
      <c r="A69" s="161" t="s">
        <v>393</v>
      </c>
      <c r="B69" s="154" t="s">
        <v>129</v>
      </c>
      <c r="C69" s="153" t="s">
        <v>394</v>
      </c>
      <c r="D69" s="153" t="s">
        <v>241</v>
      </c>
      <c r="E69" s="153" t="s">
        <v>314</v>
      </c>
      <c r="F69" s="153" t="s">
        <v>87</v>
      </c>
      <c r="G69" s="153" t="s">
        <v>87</v>
      </c>
      <c r="H69" s="153" t="s">
        <v>87</v>
      </c>
      <c r="I69" s="153" t="s">
        <v>389</v>
      </c>
      <c r="J69" s="153" t="s">
        <v>390</v>
      </c>
      <c r="K69" s="152">
        <v>14.9</v>
      </c>
    </row>
    <row r="70" spans="1:11" x14ac:dyDescent="0.25">
      <c r="A70" s="162" t="s">
        <v>395</v>
      </c>
      <c r="B70" s="150" t="s">
        <v>129</v>
      </c>
      <c r="C70" s="149" t="s">
        <v>396</v>
      </c>
      <c r="D70" s="149" t="s">
        <v>241</v>
      </c>
      <c r="E70" s="149" t="s">
        <v>314</v>
      </c>
      <c r="F70" s="149" t="s">
        <v>87</v>
      </c>
      <c r="G70" s="149" t="s">
        <v>87</v>
      </c>
      <c r="H70" s="149" t="s">
        <v>87</v>
      </c>
      <c r="I70" s="149" t="s">
        <v>389</v>
      </c>
      <c r="J70" s="149" t="s">
        <v>390</v>
      </c>
      <c r="K70" s="148">
        <v>27.9</v>
      </c>
    </row>
    <row r="71" spans="1:11" x14ac:dyDescent="0.25">
      <c r="A71" s="161" t="s">
        <v>397</v>
      </c>
      <c r="B71" s="154" t="s">
        <v>129</v>
      </c>
      <c r="C71" s="153" t="s">
        <v>398</v>
      </c>
      <c r="D71" s="153" t="s">
        <v>241</v>
      </c>
      <c r="E71" s="153" t="s">
        <v>339</v>
      </c>
      <c r="F71" s="153" t="s">
        <v>87</v>
      </c>
      <c r="G71" s="153" t="s">
        <v>87</v>
      </c>
      <c r="H71" s="153" t="s">
        <v>87</v>
      </c>
      <c r="I71" s="153" t="s">
        <v>399</v>
      </c>
      <c r="J71" s="153" t="s">
        <v>390</v>
      </c>
      <c r="K71" s="152">
        <v>49.9</v>
      </c>
    </row>
    <row r="72" spans="1:11" x14ac:dyDescent="0.25">
      <c r="A72" s="162" t="s">
        <v>400</v>
      </c>
      <c r="B72" s="150" t="s">
        <v>129</v>
      </c>
      <c r="C72" s="149" t="s">
        <v>401</v>
      </c>
      <c r="D72" s="149" t="s">
        <v>241</v>
      </c>
      <c r="E72" s="149" t="s">
        <v>339</v>
      </c>
      <c r="F72" s="149" t="s">
        <v>87</v>
      </c>
      <c r="G72" s="149" t="s">
        <v>87</v>
      </c>
      <c r="H72" s="149" t="s">
        <v>87</v>
      </c>
      <c r="I72" s="149" t="s">
        <v>399</v>
      </c>
      <c r="J72" s="149" t="s">
        <v>390</v>
      </c>
      <c r="K72" s="148">
        <v>29.9</v>
      </c>
    </row>
    <row r="73" spans="1:11" x14ac:dyDescent="0.25">
      <c r="A73" s="161" t="s">
        <v>402</v>
      </c>
      <c r="B73" s="154" t="s">
        <v>129</v>
      </c>
      <c r="C73" s="153" t="s">
        <v>403</v>
      </c>
      <c r="D73" s="153" t="s">
        <v>241</v>
      </c>
      <c r="E73" s="153" t="s">
        <v>339</v>
      </c>
      <c r="F73" s="153" t="s">
        <v>87</v>
      </c>
      <c r="G73" s="153" t="s">
        <v>87</v>
      </c>
      <c r="H73" s="153" t="s">
        <v>87</v>
      </c>
      <c r="I73" s="153" t="s">
        <v>389</v>
      </c>
      <c r="J73" s="153" t="s">
        <v>390</v>
      </c>
      <c r="K73" s="152">
        <v>17.899999999999999</v>
      </c>
    </row>
    <row r="74" spans="1:11" x14ac:dyDescent="0.25">
      <c r="A74" s="161" t="s">
        <v>404</v>
      </c>
      <c r="B74" s="154" t="s">
        <v>121</v>
      </c>
      <c r="C74" s="153" t="s">
        <v>405</v>
      </c>
      <c r="D74" s="153" t="s">
        <v>405</v>
      </c>
      <c r="E74" s="153" t="s">
        <v>304</v>
      </c>
      <c r="F74" s="153" t="s">
        <v>181</v>
      </c>
      <c r="G74" s="153" t="s">
        <v>87</v>
      </c>
      <c r="H74" s="153" t="s">
        <v>87</v>
      </c>
      <c r="I74" s="153" t="s">
        <v>399</v>
      </c>
      <c r="J74" s="153" t="s">
        <v>390</v>
      </c>
      <c r="K74" s="152">
        <v>51.6</v>
      </c>
    </row>
    <row r="75" spans="1:11" x14ac:dyDescent="0.25">
      <c r="A75" s="161" t="s">
        <v>406</v>
      </c>
      <c r="B75" s="154" t="s">
        <v>125</v>
      </c>
      <c r="C75" s="153" t="s">
        <v>407</v>
      </c>
      <c r="D75" s="153" t="s">
        <v>407</v>
      </c>
      <c r="E75" s="153" t="s">
        <v>304</v>
      </c>
      <c r="F75" s="153" t="s">
        <v>209</v>
      </c>
      <c r="G75" s="153" t="s">
        <v>87</v>
      </c>
      <c r="H75" s="153" t="s">
        <v>87</v>
      </c>
      <c r="I75" s="153" t="s">
        <v>399</v>
      </c>
      <c r="J75" s="153" t="s">
        <v>390</v>
      </c>
      <c r="K75" s="152">
        <v>51.6</v>
      </c>
    </row>
    <row r="76" spans="1:11" x14ac:dyDescent="0.25">
      <c r="A76" s="162" t="s">
        <v>408</v>
      </c>
      <c r="B76" s="150" t="s">
        <v>129</v>
      </c>
      <c r="C76" s="149" t="s">
        <v>409</v>
      </c>
      <c r="D76" s="149" t="s">
        <v>241</v>
      </c>
      <c r="E76" s="149" t="s">
        <v>242</v>
      </c>
      <c r="F76" s="149" t="s">
        <v>87</v>
      </c>
      <c r="G76" s="149" t="s">
        <v>87</v>
      </c>
      <c r="H76" s="149" t="s">
        <v>87</v>
      </c>
      <c r="I76" s="149" t="s">
        <v>389</v>
      </c>
      <c r="J76" s="149" t="s">
        <v>390</v>
      </c>
      <c r="K76" s="148">
        <v>22</v>
      </c>
    </row>
    <row r="77" spans="1:11" x14ac:dyDescent="0.25">
      <c r="A77" s="162" t="s">
        <v>410</v>
      </c>
      <c r="B77" s="150" t="s">
        <v>125</v>
      </c>
      <c r="C77" s="149" t="s">
        <v>411</v>
      </c>
      <c r="D77" s="149" t="s">
        <v>241</v>
      </c>
      <c r="E77" s="149" t="s">
        <v>345</v>
      </c>
      <c r="F77" s="149" t="s">
        <v>87</v>
      </c>
      <c r="G77" s="149" t="s">
        <v>87</v>
      </c>
      <c r="H77" s="149" t="s">
        <v>87</v>
      </c>
      <c r="I77" s="149" t="s">
        <v>399</v>
      </c>
      <c r="J77" s="149" t="s">
        <v>390</v>
      </c>
      <c r="K77" s="148">
        <v>19.899999999999999</v>
      </c>
    </row>
    <row r="78" spans="1:11" x14ac:dyDescent="0.25">
      <c r="A78" s="161" t="s">
        <v>412</v>
      </c>
      <c r="B78" s="154" t="s">
        <v>121</v>
      </c>
      <c r="C78" s="153" t="s">
        <v>413</v>
      </c>
      <c r="D78" s="153" t="s">
        <v>241</v>
      </c>
      <c r="E78" s="153" t="s">
        <v>345</v>
      </c>
      <c r="F78" s="153" t="s">
        <v>87</v>
      </c>
      <c r="G78" s="153" t="s">
        <v>87</v>
      </c>
      <c r="H78" s="153" t="s">
        <v>87</v>
      </c>
      <c r="I78" s="153" t="s">
        <v>399</v>
      </c>
      <c r="J78" s="153" t="s">
        <v>390</v>
      </c>
      <c r="K78" s="152">
        <v>19.899999999999999</v>
      </c>
    </row>
    <row r="79" spans="1:11" x14ac:dyDescent="0.25">
      <c r="A79" s="162" t="s">
        <v>414</v>
      </c>
      <c r="B79" s="150" t="s">
        <v>129</v>
      </c>
      <c r="C79" s="149" t="s">
        <v>415</v>
      </c>
      <c r="D79" s="149" t="s">
        <v>241</v>
      </c>
      <c r="E79" s="149" t="s">
        <v>345</v>
      </c>
      <c r="F79" s="149" t="s">
        <v>87</v>
      </c>
      <c r="G79" s="149" t="s">
        <v>87</v>
      </c>
      <c r="H79" s="149" t="s">
        <v>87</v>
      </c>
      <c r="I79" s="149" t="s">
        <v>399</v>
      </c>
      <c r="J79" s="149" t="s">
        <v>390</v>
      </c>
      <c r="K79" s="148">
        <v>23</v>
      </c>
    </row>
    <row r="80" spans="1:11" x14ac:dyDescent="0.25">
      <c r="A80" s="162" t="s">
        <v>416</v>
      </c>
      <c r="B80" s="150" t="s">
        <v>129</v>
      </c>
      <c r="C80" s="149" t="s">
        <v>34</v>
      </c>
      <c r="D80" s="149" t="s">
        <v>241</v>
      </c>
      <c r="E80" s="149" t="s">
        <v>345</v>
      </c>
      <c r="F80" s="149" t="s">
        <v>87</v>
      </c>
      <c r="G80" s="149" t="s">
        <v>87</v>
      </c>
      <c r="H80" s="149" t="s">
        <v>87</v>
      </c>
      <c r="I80" s="149" t="s">
        <v>399</v>
      </c>
      <c r="J80" s="149" t="s">
        <v>390</v>
      </c>
      <c r="K80" s="148">
        <v>30</v>
      </c>
    </row>
    <row r="81" spans="1:11" x14ac:dyDescent="0.25">
      <c r="A81" s="162" t="s">
        <v>417</v>
      </c>
      <c r="B81" s="150" t="s">
        <v>121</v>
      </c>
      <c r="C81" s="149" t="s">
        <v>418</v>
      </c>
      <c r="D81" s="149" t="s">
        <v>265</v>
      </c>
      <c r="E81" s="149" t="s">
        <v>239</v>
      </c>
      <c r="F81" s="149" t="s">
        <v>181</v>
      </c>
      <c r="G81" s="149" t="s">
        <v>87</v>
      </c>
      <c r="H81" s="149" t="s">
        <v>87</v>
      </c>
      <c r="I81" s="149" t="s">
        <v>389</v>
      </c>
      <c r="J81" s="149" t="s">
        <v>390</v>
      </c>
      <c r="K81" s="148">
        <v>28</v>
      </c>
    </row>
    <row r="82" spans="1:11" x14ac:dyDescent="0.25">
      <c r="A82" s="161" t="s">
        <v>419</v>
      </c>
      <c r="B82" s="154" t="s">
        <v>121</v>
      </c>
      <c r="C82" s="153" t="s">
        <v>420</v>
      </c>
      <c r="D82" s="153" t="s">
        <v>421</v>
      </c>
      <c r="E82" s="153" t="s">
        <v>239</v>
      </c>
      <c r="F82" s="153" t="s">
        <v>181</v>
      </c>
      <c r="G82" s="153" t="s">
        <v>87</v>
      </c>
      <c r="H82" s="153" t="s">
        <v>87</v>
      </c>
      <c r="I82" s="153" t="s">
        <v>389</v>
      </c>
      <c r="J82" s="153" t="s">
        <v>390</v>
      </c>
      <c r="K82" s="152">
        <v>28</v>
      </c>
    </row>
    <row r="83" spans="1:11" x14ac:dyDescent="0.25">
      <c r="A83" s="162" t="s">
        <v>422</v>
      </c>
      <c r="B83" s="150" t="s">
        <v>121</v>
      </c>
      <c r="C83" s="149" t="s">
        <v>423</v>
      </c>
      <c r="D83" s="149" t="s">
        <v>421</v>
      </c>
      <c r="E83" s="149" t="s">
        <v>239</v>
      </c>
      <c r="F83" s="149" t="s">
        <v>181</v>
      </c>
      <c r="G83" s="149" t="s">
        <v>87</v>
      </c>
      <c r="H83" s="149" t="s">
        <v>87</v>
      </c>
      <c r="I83" s="149" t="s">
        <v>389</v>
      </c>
      <c r="J83" s="149" t="s">
        <v>390</v>
      </c>
      <c r="K83" s="148">
        <v>15</v>
      </c>
    </row>
    <row r="84" spans="1:11" x14ac:dyDescent="0.25">
      <c r="A84" s="161" t="s">
        <v>424</v>
      </c>
      <c r="B84" s="154" t="s">
        <v>129</v>
      </c>
      <c r="C84" s="153" t="s">
        <v>35</v>
      </c>
      <c r="D84" s="153" t="s">
        <v>241</v>
      </c>
      <c r="E84" s="153" t="s">
        <v>239</v>
      </c>
      <c r="F84" s="153" t="s">
        <v>87</v>
      </c>
      <c r="G84" s="153" t="s">
        <v>87</v>
      </c>
      <c r="H84" s="153" t="s">
        <v>87</v>
      </c>
      <c r="I84" s="153" t="s">
        <v>389</v>
      </c>
      <c r="J84" s="153" t="s">
        <v>390</v>
      </c>
      <c r="K84" s="152">
        <v>43.4</v>
      </c>
    </row>
    <row r="85" spans="1:11" x14ac:dyDescent="0.25">
      <c r="A85" s="161" t="s">
        <v>425</v>
      </c>
      <c r="B85" s="154" t="s">
        <v>125</v>
      </c>
      <c r="C85" s="153" t="s">
        <v>426</v>
      </c>
      <c r="D85" s="153" t="s">
        <v>427</v>
      </c>
      <c r="E85" s="153" t="s">
        <v>239</v>
      </c>
      <c r="F85" s="153" t="s">
        <v>181</v>
      </c>
      <c r="G85" s="153" t="s">
        <v>87</v>
      </c>
      <c r="H85" s="153" t="s">
        <v>87</v>
      </c>
      <c r="I85" s="153" t="s">
        <v>389</v>
      </c>
      <c r="J85" s="153" t="s">
        <v>390</v>
      </c>
      <c r="K85" s="152">
        <v>28</v>
      </c>
    </row>
    <row r="86" spans="1:11" x14ac:dyDescent="0.25">
      <c r="A86" s="162" t="s">
        <v>428</v>
      </c>
      <c r="B86" s="150" t="s">
        <v>125</v>
      </c>
      <c r="C86" s="149" t="s">
        <v>429</v>
      </c>
      <c r="D86" s="149" t="s">
        <v>427</v>
      </c>
      <c r="E86" s="149" t="s">
        <v>239</v>
      </c>
      <c r="F86" s="149" t="s">
        <v>181</v>
      </c>
      <c r="G86" s="149" t="s">
        <v>87</v>
      </c>
      <c r="H86" s="149" t="s">
        <v>87</v>
      </c>
      <c r="I86" s="149" t="s">
        <v>389</v>
      </c>
      <c r="J86" s="149" t="s">
        <v>390</v>
      </c>
      <c r="K86" s="148">
        <v>15</v>
      </c>
    </row>
    <row r="87" spans="1:11" x14ac:dyDescent="0.25">
      <c r="A87" s="162" t="s">
        <v>430</v>
      </c>
      <c r="B87" s="150" t="s">
        <v>129</v>
      </c>
      <c r="C87" s="149" t="s">
        <v>431</v>
      </c>
      <c r="D87" s="149" t="s">
        <v>380</v>
      </c>
      <c r="E87" s="149" t="s">
        <v>239</v>
      </c>
      <c r="F87" s="149" t="s">
        <v>197</v>
      </c>
      <c r="G87" s="149" t="s">
        <v>87</v>
      </c>
      <c r="H87" s="149" t="s">
        <v>87</v>
      </c>
      <c r="I87" s="149" t="s">
        <v>389</v>
      </c>
      <c r="J87" s="149" t="s">
        <v>390</v>
      </c>
      <c r="K87" s="148">
        <v>28</v>
      </c>
    </row>
    <row r="88" spans="1:11" x14ac:dyDescent="0.25">
      <c r="A88" s="161" t="s">
        <v>432</v>
      </c>
      <c r="B88" s="154" t="s">
        <v>129</v>
      </c>
      <c r="C88" s="153" t="s">
        <v>433</v>
      </c>
      <c r="D88" s="153" t="s">
        <v>380</v>
      </c>
      <c r="E88" s="153" t="s">
        <v>239</v>
      </c>
      <c r="F88" s="153" t="s">
        <v>197</v>
      </c>
      <c r="G88" s="153" t="s">
        <v>87</v>
      </c>
      <c r="H88" s="153" t="s">
        <v>87</v>
      </c>
      <c r="I88" s="153" t="s">
        <v>389</v>
      </c>
      <c r="J88" s="153" t="s">
        <v>390</v>
      </c>
      <c r="K88" s="152">
        <v>15</v>
      </c>
    </row>
    <row r="89" spans="1:11" x14ac:dyDescent="0.25">
      <c r="A89" s="162" t="s">
        <v>434</v>
      </c>
      <c r="B89" s="150" t="s">
        <v>129</v>
      </c>
      <c r="C89" s="149" t="s">
        <v>435</v>
      </c>
      <c r="D89" s="149" t="s">
        <v>241</v>
      </c>
      <c r="E89" s="149" t="s">
        <v>239</v>
      </c>
      <c r="F89" s="149" t="s">
        <v>87</v>
      </c>
      <c r="G89" s="149" t="s">
        <v>87</v>
      </c>
      <c r="H89" s="149" t="s">
        <v>87</v>
      </c>
      <c r="I89" s="149" t="s">
        <v>399</v>
      </c>
      <c r="J89" s="149" t="s">
        <v>390</v>
      </c>
      <c r="K89" s="148">
        <v>40</v>
      </c>
    </row>
    <row r="90" spans="1:11" x14ac:dyDescent="0.25">
      <c r="A90" s="162" t="s">
        <v>436</v>
      </c>
      <c r="B90" s="150" t="s">
        <v>129</v>
      </c>
      <c r="C90" s="149" t="s">
        <v>27</v>
      </c>
      <c r="D90" s="149" t="s">
        <v>241</v>
      </c>
      <c r="E90" s="149" t="s">
        <v>196</v>
      </c>
      <c r="F90" s="149" t="s">
        <v>87</v>
      </c>
      <c r="G90" s="149" t="s">
        <v>87</v>
      </c>
      <c r="H90" s="149" t="s">
        <v>87</v>
      </c>
      <c r="I90" s="149" t="s">
        <v>389</v>
      </c>
      <c r="J90" s="149" t="s">
        <v>390</v>
      </c>
      <c r="K90" s="148">
        <v>18.899999999999999</v>
      </c>
    </row>
    <row r="91" spans="1:11" x14ac:dyDescent="0.25">
      <c r="A91" s="161" t="s">
        <v>437</v>
      </c>
      <c r="B91" s="154" t="s">
        <v>129</v>
      </c>
      <c r="C91" s="153" t="s">
        <v>438</v>
      </c>
      <c r="D91" s="153" t="s">
        <v>241</v>
      </c>
      <c r="E91" s="153" t="s">
        <v>354</v>
      </c>
      <c r="F91" s="153" t="s">
        <v>87</v>
      </c>
      <c r="G91" s="153" t="s">
        <v>87</v>
      </c>
      <c r="H91" s="153" t="s">
        <v>87</v>
      </c>
      <c r="I91" s="153" t="s">
        <v>399</v>
      </c>
      <c r="J91" s="153" t="s">
        <v>390</v>
      </c>
      <c r="K91" s="152">
        <v>40</v>
      </c>
    </row>
    <row r="92" spans="1:11" x14ac:dyDescent="0.25">
      <c r="A92" s="161" t="s">
        <v>439</v>
      </c>
      <c r="B92" s="154" t="s">
        <v>129</v>
      </c>
      <c r="C92" s="153" t="s">
        <v>440</v>
      </c>
      <c r="D92" s="153" t="s">
        <v>241</v>
      </c>
      <c r="E92" s="153" t="s">
        <v>354</v>
      </c>
      <c r="F92" s="153" t="s">
        <v>87</v>
      </c>
      <c r="G92" s="153" t="s">
        <v>87</v>
      </c>
      <c r="H92" s="153" t="s">
        <v>87</v>
      </c>
      <c r="I92" s="153" t="s">
        <v>399</v>
      </c>
      <c r="J92" s="153" t="s">
        <v>390</v>
      </c>
      <c r="K92" s="152">
        <v>20</v>
      </c>
    </row>
    <row r="93" spans="1:11" x14ac:dyDescent="0.25">
      <c r="A93" s="162" t="s">
        <v>441</v>
      </c>
      <c r="B93" s="150" t="s">
        <v>121</v>
      </c>
      <c r="C93" s="149" t="s">
        <v>442</v>
      </c>
      <c r="D93" s="149" t="s">
        <v>241</v>
      </c>
      <c r="E93" s="149" t="s">
        <v>443</v>
      </c>
      <c r="F93" s="149" t="s">
        <v>87</v>
      </c>
      <c r="G93" s="149" t="s">
        <v>87</v>
      </c>
      <c r="H93" s="149" t="s">
        <v>87</v>
      </c>
      <c r="I93" s="149" t="s">
        <v>399</v>
      </c>
      <c r="J93" s="149" t="s">
        <v>390</v>
      </c>
      <c r="K93" s="148">
        <v>38.299999999999997</v>
      </c>
    </row>
    <row r="94" spans="1:11" x14ac:dyDescent="0.25">
      <c r="A94" s="162" t="s">
        <v>444</v>
      </c>
      <c r="B94" s="150" t="s">
        <v>129</v>
      </c>
      <c r="C94" s="149" t="s">
        <v>22</v>
      </c>
      <c r="D94" s="149" t="s">
        <v>368</v>
      </c>
      <c r="E94" s="149" t="s">
        <v>369</v>
      </c>
      <c r="F94" s="149" t="s">
        <v>87</v>
      </c>
      <c r="G94" s="149" t="s">
        <v>87</v>
      </c>
      <c r="H94" s="149" t="s">
        <v>87</v>
      </c>
      <c r="I94" s="149" t="s">
        <v>399</v>
      </c>
      <c r="J94" s="149" t="s">
        <v>390</v>
      </c>
      <c r="K94" s="148">
        <v>74.3</v>
      </c>
    </row>
    <row r="95" spans="1:11" x14ac:dyDescent="0.25">
      <c r="A95" s="161" t="s">
        <v>445</v>
      </c>
      <c r="B95" s="154" t="s">
        <v>129</v>
      </c>
      <c r="C95" s="153" t="s">
        <v>386</v>
      </c>
      <c r="D95" s="153" t="s">
        <v>368</v>
      </c>
      <c r="E95" s="153" t="s">
        <v>369</v>
      </c>
      <c r="F95" s="153" t="s">
        <v>87</v>
      </c>
      <c r="G95" s="153" t="s">
        <v>87</v>
      </c>
      <c r="H95" s="153" t="s">
        <v>87</v>
      </c>
      <c r="I95" s="153" t="s">
        <v>389</v>
      </c>
      <c r="J95" s="153" t="s">
        <v>390</v>
      </c>
      <c r="K95" s="152">
        <v>41.9</v>
      </c>
    </row>
    <row r="96" spans="1:11" ht="15.75" thickBot="1" x14ac:dyDescent="0.3"/>
    <row r="97" spans="1:12" x14ac:dyDescent="0.25">
      <c r="A97" s="471" t="s">
        <v>446</v>
      </c>
      <c r="B97" s="472"/>
      <c r="C97" s="472"/>
      <c r="D97" s="472"/>
      <c r="E97" s="472"/>
      <c r="F97" s="472"/>
      <c r="G97" s="472"/>
      <c r="H97" s="472"/>
      <c r="I97" s="472"/>
      <c r="J97" s="472"/>
      <c r="K97" s="472"/>
      <c r="L97" s="473"/>
    </row>
    <row r="98" spans="1:12" ht="15.75" thickBot="1" x14ac:dyDescent="0.3">
      <c r="A98" s="474"/>
      <c r="B98" s="475"/>
      <c r="C98" s="475"/>
      <c r="D98" s="475"/>
      <c r="E98" s="475"/>
      <c r="F98" s="475"/>
      <c r="G98" s="475"/>
      <c r="H98" s="475"/>
      <c r="I98" s="475"/>
      <c r="J98" s="475"/>
      <c r="K98" s="475"/>
      <c r="L98" s="476"/>
    </row>
    <row r="100" spans="1:12" x14ac:dyDescent="0.25">
      <c r="A100" s="158" t="s">
        <v>169</v>
      </c>
      <c r="B100" s="158" t="s">
        <v>170</v>
      </c>
      <c r="C100" s="157" t="s">
        <v>171</v>
      </c>
      <c r="D100" s="156" t="s">
        <v>168</v>
      </c>
      <c r="E100" s="156" t="s">
        <v>173</v>
      </c>
      <c r="F100" s="156" t="s">
        <v>4</v>
      </c>
      <c r="G100" s="156" t="s">
        <v>174</v>
      </c>
      <c r="H100" s="156" t="s">
        <v>122</v>
      </c>
      <c r="I100" s="156" t="s">
        <v>326</v>
      </c>
      <c r="J100" s="156" t="s">
        <v>5</v>
      </c>
      <c r="K100" s="156" t="s">
        <v>327</v>
      </c>
      <c r="L100" s="156" t="s">
        <v>6</v>
      </c>
    </row>
    <row r="101" spans="1:12" x14ac:dyDescent="0.25">
      <c r="A101" s="159">
        <v>688083002434</v>
      </c>
      <c r="B101" s="151" t="s">
        <v>447</v>
      </c>
      <c r="C101" s="150" t="s">
        <v>448</v>
      </c>
      <c r="D101" s="149" t="s">
        <v>449</v>
      </c>
      <c r="E101" s="149" t="s">
        <v>241</v>
      </c>
      <c r="F101" s="149" t="s">
        <v>450</v>
      </c>
      <c r="G101" s="149" t="s">
        <v>87</v>
      </c>
      <c r="H101" s="149" t="s">
        <v>87</v>
      </c>
      <c r="I101" s="149" t="s">
        <v>87</v>
      </c>
      <c r="J101" s="149" t="s">
        <v>451</v>
      </c>
      <c r="K101" s="149" t="s">
        <v>452</v>
      </c>
      <c r="L101" s="148">
        <v>5.3</v>
      </c>
    </row>
    <row r="102" spans="1:12" x14ac:dyDescent="0.25">
      <c r="A102" s="159">
        <v>688083002441</v>
      </c>
      <c r="B102" s="151" t="s">
        <v>447</v>
      </c>
      <c r="C102" s="150" t="s">
        <v>448</v>
      </c>
      <c r="D102" s="149" t="s">
        <v>79</v>
      </c>
      <c r="E102" s="149" t="s">
        <v>241</v>
      </c>
      <c r="F102" s="149" t="s">
        <v>450</v>
      </c>
      <c r="G102" s="149" t="s">
        <v>87</v>
      </c>
      <c r="H102" s="149" t="s">
        <v>87</v>
      </c>
      <c r="I102" s="149" t="s">
        <v>87</v>
      </c>
      <c r="J102" s="149" t="s">
        <v>451</v>
      </c>
      <c r="K102" s="149" t="s">
        <v>452</v>
      </c>
      <c r="L102" s="148">
        <v>5.3</v>
      </c>
    </row>
    <row r="103" spans="1:12" x14ac:dyDescent="0.25">
      <c r="A103" s="160">
        <v>688083002458</v>
      </c>
      <c r="B103" s="155" t="s">
        <v>447</v>
      </c>
      <c r="C103" s="154" t="s">
        <v>448</v>
      </c>
      <c r="D103" s="153" t="s">
        <v>453</v>
      </c>
      <c r="E103" s="153" t="s">
        <v>241</v>
      </c>
      <c r="F103" s="153" t="s">
        <v>450</v>
      </c>
      <c r="G103" s="153" t="s">
        <v>87</v>
      </c>
      <c r="H103" s="153" t="s">
        <v>87</v>
      </c>
      <c r="I103" s="153" t="s">
        <v>87</v>
      </c>
      <c r="J103" s="153" t="s">
        <v>451</v>
      </c>
      <c r="K103" s="153" t="s">
        <v>452</v>
      </c>
      <c r="L103" s="152">
        <v>5.3</v>
      </c>
    </row>
    <row r="104" spans="1:12" x14ac:dyDescent="0.25">
      <c r="A104" s="160">
        <v>688083002496</v>
      </c>
      <c r="B104" s="155" t="s">
        <v>447</v>
      </c>
      <c r="C104" s="154" t="s">
        <v>448</v>
      </c>
      <c r="D104" s="153" t="s">
        <v>80</v>
      </c>
      <c r="E104" s="153" t="s">
        <v>241</v>
      </c>
      <c r="F104" s="153" t="s">
        <v>450</v>
      </c>
      <c r="G104" s="153" t="s">
        <v>87</v>
      </c>
      <c r="H104" s="153" t="s">
        <v>87</v>
      </c>
      <c r="I104" s="153" t="s">
        <v>87</v>
      </c>
      <c r="J104" s="153" t="s">
        <v>451</v>
      </c>
      <c r="K104" s="153" t="s">
        <v>452</v>
      </c>
      <c r="L104" s="152">
        <v>5.3</v>
      </c>
    </row>
    <row r="105" spans="1:12" x14ac:dyDescent="0.25">
      <c r="A105" s="160">
        <v>688083002748</v>
      </c>
      <c r="B105" s="155" t="s">
        <v>447</v>
      </c>
      <c r="C105" s="154" t="s">
        <v>448</v>
      </c>
      <c r="D105" s="153" t="s">
        <v>75</v>
      </c>
      <c r="E105" s="153" t="s">
        <v>427</v>
      </c>
      <c r="F105" s="153" t="s">
        <v>239</v>
      </c>
      <c r="G105" s="153" t="s">
        <v>87</v>
      </c>
      <c r="H105" s="153" t="s">
        <v>87</v>
      </c>
      <c r="I105" s="153" t="s">
        <v>87</v>
      </c>
      <c r="J105" s="153" t="s">
        <v>451</v>
      </c>
      <c r="K105" s="153" t="s">
        <v>452</v>
      </c>
      <c r="L105" s="152">
        <v>4.7</v>
      </c>
    </row>
    <row r="106" spans="1:12" x14ac:dyDescent="0.25">
      <c r="A106" s="159">
        <v>688083002762</v>
      </c>
      <c r="B106" s="151" t="s">
        <v>447</v>
      </c>
      <c r="C106" s="150" t="s">
        <v>448</v>
      </c>
      <c r="D106" s="149" t="s">
        <v>74</v>
      </c>
      <c r="E106" s="149" t="s">
        <v>421</v>
      </c>
      <c r="F106" s="149" t="s">
        <v>239</v>
      </c>
      <c r="G106" s="149" t="s">
        <v>87</v>
      </c>
      <c r="H106" s="149" t="s">
        <v>87</v>
      </c>
      <c r="I106" s="149" t="s">
        <v>87</v>
      </c>
      <c r="J106" s="149" t="s">
        <v>451</v>
      </c>
      <c r="K106" s="149" t="s">
        <v>452</v>
      </c>
      <c r="L106" s="148">
        <v>4.7</v>
      </c>
    </row>
    <row r="107" spans="1:12" x14ac:dyDescent="0.25">
      <c r="A107" s="159">
        <v>688083006579</v>
      </c>
      <c r="B107" s="151" t="s">
        <v>447</v>
      </c>
      <c r="C107" s="150" t="s">
        <v>448</v>
      </c>
      <c r="D107" s="149" t="s">
        <v>65</v>
      </c>
      <c r="E107" s="149" t="s">
        <v>241</v>
      </c>
      <c r="F107" s="149" t="s">
        <v>239</v>
      </c>
      <c r="G107" s="149" t="s">
        <v>87</v>
      </c>
      <c r="H107" s="149" t="s">
        <v>87</v>
      </c>
      <c r="I107" s="149" t="s">
        <v>87</v>
      </c>
      <c r="J107" s="149" t="s">
        <v>451</v>
      </c>
      <c r="K107" s="149" t="s">
        <v>452</v>
      </c>
      <c r="L107" s="148">
        <v>5.0999999999999996</v>
      </c>
    </row>
    <row r="108" spans="1:12" x14ac:dyDescent="0.25">
      <c r="A108" s="160">
        <v>688083006586</v>
      </c>
      <c r="B108" s="155" t="s">
        <v>447</v>
      </c>
      <c r="C108" s="154" t="s">
        <v>448</v>
      </c>
      <c r="D108" s="153" t="s">
        <v>66</v>
      </c>
      <c r="E108" s="153" t="s">
        <v>241</v>
      </c>
      <c r="F108" s="153" t="s">
        <v>239</v>
      </c>
      <c r="G108" s="153" t="s">
        <v>87</v>
      </c>
      <c r="H108" s="153" t="s">
        <v>87</v>
      </c>
      <c r="I108" s="153" t="s">
        <v>87</v>
      </c>
      <c r="J108" s="153" t="s">
        <v>451</v>
      </c>
      <c r="K108" s="153" t="s">
        <v>452</v>
      </c>
      <c r="L108" s="152">
        <v>5.0999999999999996</v>
      </c>
    </row>
    <row r="109" spans="1:12" x14ac:dyDescent="0.25">
      <c r="A109" s="160">
        <v>688083007736</v>
      </c>
      <c r="B109" s="155" t="s">
        <v>447</v>
      </c>
      <c r="C109" s="154" t="s">
        <v>448</v>
      </c>
      <c r="D109" s="153" t="s">
        <v>67</v>
      </c>
      <c r="E109" s="153" t="s">
        <v>241</v>
      </c>
      <c r="F109" s="153" t="s">
        <v>239</v>
      </c>
      <c r="G109" s="153" t="s">
        <v>87</v>
      </c>
      <c r="H109" s="153" t="s">
        <v>182</v>
      </c>
      <c r="I109" s="153" t="s">
        <v>87</v>
      </c>
      <c r="J109" s="153" t="s">
        <v>451</v>
      </c>
      <c r="K109" s="153" t="s">
        <v>452</v>
      </c>
      <c r="L109" s="152">
        <v>5.0999999999999996</v>
      </c>
    </row>
    <row r="110" spans="1:12" x14ac:dyDescent="0.25">
      <c r="A110" s="160">
        <v>697238200007</v>
      </c>
      <c r="B110" s="155" t="s">
        <v>447</v>
      </c>
      <c r="C110" s="154" t="s">
        <v>448</v>
      </c>
      <c r="D110" s="153" t="s">
        <v>454</v>
      </c>
      <c r="E110" s="153" t="s">
        <v>241</v>
      </c>
      <c r="F110" s="153" t="s">
        <v>455</v>
      </c>
      <c r="G110" s="153" t="s">
        <v>87</v>
      </c>
      <c r="H110" s="153" t="s">
        <v>87</v>
      </c>
      <c r="I110" s="153" t="s">
        <v>87</v>
      </c>
      <c r="J110" s="153" t="s">
        <v>451</v>
      </c>
      <c r="K110" s="153" t="s">
        <v>452</v>
      </c>
      <c r="L110" s="152">
        <v>4.9000000000000004</v>
      </c>
    </row>
    <row r="111" spans="1:12" x14ac:dyDescent="0.25">
      <c r="A111" s="160">
        <v>697238200106</v>
      </c>
      <c r="B111" s="155" t="s">
        <v>447</v>
      </c>
      <c r="C111" s="154" t="s">
        <v>448</v>
      </c>
      <c r="D111" s="153" t="s">
        <v>456</v>
      </c>
      <c r="E111" s="153" t="s">
        <v>241</v>
      </c>
      <c r="F111" s="153" t="s">
        <v>455</v>
      </c>
      <c r="G111" s="153" t="s">
        <v>87</v>
      </c>
      <c r="H111" s="153" t="s">
        <v>87</v>
      </c>
      <c r="I111" s="153" t="s">
        <v>87</v>
      </c>
      <c r="J111" s="153" t="s">
        <v>451</v>
      </c>
      <c r="K111" s="153" t="s">
        <v>452</v>
      </c>
      <c r="L111" s="152">
        <v>4.9000000000000004</v>
      </c>
    </row>
    <row r="112" spans="1:12" x14ac:dyDescent="0.25">
      <c r="A112" s="159">
        <v>697238200113</v>
      </c>
      <c r="B112" s="151" t="s">
        <v>447</v>
      </c>
      <c r="C112" s="150" t="s">
        <v>448</v>
      </c>
      <c r="D112" s="149" t="s">
        <v>457</v>
      </c>
      <c r="E112" s="149" t="s">
        <v>241</v>
      </c>
      <c r="F112" s="149" t="s">
        <v>455</v>
      </c>
      <c r="G112" s="149" t="s">
        <v>87</v>
      </c>
      <c r="H112" s="149" t="s">
        <v>183</v>
      </c>
      <c r="I112" s="149" t="s">
        <v>204</v>
      </c>
      <c r="J112" s="149" t="s">
        <v>451</v>
      </c>
      <c r="K112" s="149" t="s">
        <v>452</v>
      </c>
      <c r="L112" s="148">
        <v>4.9000000000000004</v>
      </c>
    </row>
    <row r="113" spans="1:12" x14ac:dyDescent="0.25">
      <c r="A113" s="160">
        <v>697238202001</v>
      </c>
      <c r="B113" s="155" t="s">
        <v>447</v>
      </c>
      <c r="C113" s="154" t="s">
        <v>448</v>
      </c>
      <c r="D113" s="153" t="s">
        <v>72</v>
      </c>
      <c r="E113" s="153" t="s">
        <v>241</v>
      </c>
      <c r="F113" s="153" t="s">
        <v>458</v>
      </c>
      <c r="G113" s="153" t="s">
        <v>87</v>
      </c>
      <c r="H113" s="153" t="s">
        <v>87</v>
      </c>
      <c r="I113" s="153" t="s">
        <v>87</v>
      </c>
      <c r="J113" s="153" t="s">
        <v>451</v>
      </c>
      <c r="K113" s="153" t="s">
        <v>452</v>
      </c>
      <c r="L113" s="152">
        <v>3</v>
      </c>
    </row>
    <row r="114" spans="1:12" x14ac:dyDescent="0.25">
      <c r="A114" s="160">
        <v>697238202018</v>
      </c>
      <c r="B114" s="155" t="s">
        <v>447</v>
      </c>
      <c r="C114" s="154" t="s">
        <v>448</v>
      </c>
      <c r="D114" s="153" t="s">
        <v>63</v>
      </c>
      <c r="E114" s="153" t="s">
        <v>241</v>
      </c>
      <c r="F114" s="153" t="s">
        <v>458</v>
      </c>
      <c r="G114" s="153" t="s">
        <v>87</v>
      </c>
      <c r="H114" s="153" t="s">
        <v>87</v>
      </c>
      <c r="I114" s="153" t="s">
        <v>87</v>
      </c>
      <c r="J114" s="153" t="s">
        <v>451</v>
      </c>
      <c r="K114" s="153" t="s">
        <v>452</v>
      </c>
      <c r="L114" s="152">
        <v>6</v>
      </c>
    </row>
    <row r="115" spans="1:12" x14ac:dyDescent="0.25">
      <c r="A115" s="159">
        <v>697238202025</v>
      </c>
      <c r="B115" s="151" t="s">
        <v>447</v>
      </c>
      <c r="C115" s="150" t="s">
        <v>448</v>
      </c>
      <c r="D115" s="149" t="s">
        <v>64</v>
      </c>
      <c r="E115" s="149" t="s">
        <v>241</v>
      </c>
      <c r="F115" s="149" t="s">
        <v>458</v>
      </c>
      <c r="G115" s="149" t="s">
        <v>87</v>
      </c>
      <c r="H115" s="149" t="s">
        <v>204</v>
      </c>
      <c r="I115" s="149" t="s">
        <v>87</v>
      </c>
      <c r="J115" s="149" t="s">
        <v>451</v>
      </c>
      <c r="K115" s="149" t="s">
        <v>452</v>
      </c>
      <c r="L115" s="148">
        <v>6</v>
      </c>
    </row>
    <row r="116" spans="1:12" x14ac:dyDescent="0.25">
      <c r="A116" s="160">
        <v>697238203077</v>
      </c>
      <c r="B116" s="155" t="s">
        <v>447</v>
      </c>
      <c r="C116" s="154" t="s">
        <v>448</v>
      </c>
      <c r="D116" s="153" t="s">
        <v>54</v>
      </c>
      <c r="E116" s="153" t="s">
        <v>241</v>
      </c>
      <c r="F116" s="153" t="s">
        <v>459</v>
      </c>
      <c r="G116" s="153" t="s">
        <v>87</v>
      </c>
      <c r="H116" s="153" t="s">
        <v>204</v>
      </c>
      <c r="I116" s="153" t="s">
        <v>182</v>
      </c>
      <c r="J116" s="153" t="s">
        <v>460</v>
      </c>
      <c r="K116" s="153" t="s">
        <v>452</v>
      </c>
      <c r="L116" s="152">
        <v>6</v>
      </c>
    </row>
    <row r="117" spans="1:12" x14ac:dyDescent="0.25">
      <c r="A117" s="160">
        <v>697238203084</v>
      </c>
      <c r="B117" s="155" t="s">
        <v>447</v>
      </c>
      <c r="C117" s="154" t="s">
        <v>448</v>
      </c>
      <c r="D117" s="153" t="s">
        <v>461</v>
      </c>
      <c r="E117" s="153" t="s">
        <v>241</v>
      </c>
      <c r="F117" s="153" t="s">
        <v>459</v>
      </c>
      <c r="G117" s="153" t="s">
        <v>87</v>
      </c>
      <c r="H117" s="153" t="s">
        <v>182</v>
      </c>
      <c r="I117" s="153" t="s">
        <v>183</v>
      </c>
      <c r="J117" s="153" t="s">
        <v>460</v>
      </c>
      <c r="K117" s="153" t="s">
        <v>452</v>
      </c>
      <c r="L117" s="152">
        <v>6</v>
      </c>
    </row>
    <row r="118" spans="1:12" x14ac:dyDescent="0.25">
      <c r="A118" s="159">
        <v>697238203138</v>
      </c>
      <c r="B118" s="151" t="s">
        <v>447</v>
      </c>
      <c r="C118" s="150" t="s">
        <v>448</v>
      </c>
      <c r="D118" s="149" t="s">
        <v>462</v>
      </c>
      <c r="E118" s="149" t="s">
        <v>241</v>
      </c>
      <c r="F118" s="149" t="s">
        <v>463</v>
      </c>
      <c r="G118" s="149" t="s">
        <v>87</v>
      </c>
      <c r="H118" s="149" t="s">
        <v>87</v>
      </c>
      <c r="I118" s="149" t="s">
        <v>87</v>
      </c>
      <c r="J118" s="149" t="s">
        <v>460</v>
      </c>
      <c r="K118" s="149" t="s">
        <v>452</v>
      </c>
      <c r="L118" s="148">
        <v>6</v>
      </c>
    </row>
    <row r="119" spans="1:12" x14ac:dyDescent="0.25">
      <c r="A119" s="159">
        <v>697238204005</v>
      </c>
      <c r="B119" s="151" t="s">
        <v>447</v>
      </c>
      <c r="C119" s="150" t="s">
        <v>448</v>
      </c>
      <c r="D119" s="149" t="s">
        <v>464</v>
      </c>
      <c r="E119" s="149" t="s">
        <v>241</v>
      </c>
      <c r="F119" s="149" t="s">
        <v>465</v>
      </c>
      <c r="G119" s="149" t="s">
        <v>87</v>
      </c>
      <c r="H119" s="149" t="s">
        <v>87</v>
      </c>
      <c r="I119" s="149" t="s">
        <v>87</v>
      </c>
      <c r="J119" s="149" t="s">
        <v>451</v>
      </c>
      <c r="K119" s="149" t="s">
        <v>452</v>
      </c>
      <c r="L119" s="148">
        <v>6.9</v>
      </c>
    </row>
    <row r="120" spans="1:12" x14ac:dyDescent="0.25">
      <c r="A120" s="159">
        <v>697238204012</v>
      </c>
      <c r="B120" s="151" t="s">
        <v>447</v>
      </c>
      <c r="C120" s="150" t="s">
        <v>448</v>
      </c>
      <c r="D120" s="149" t="s">
        <v>466</v>
      </c>
      <c r="E120" s="149" t="s">
        <v>241</v>
      </c>
      <c r="F120" s="149" t="s">
        <v>465</v>
      </c>
      <c r="G120" s="149" t="s">
        <v>87</v>
      </c>
      <c r="H120" s="149" t="s">
        <v>87</v>
      </c>
      <c r="I120" s="149" t="s">
        <v>87</v>
      </c>
      <c r="J120" s="149" t="s">
        <v>451</v>
      </c>
      <c r="K120" s="149" t="s">
        <v>452</v>
      </c>
      <c r="L120" s="148">
        <v>6.9</v>
      </c>
    </row>
    <row r="121" spans="1:12" x14ac:dyDescent="0.25">
      <c r="A121" s="160">
        <v>697238204029</v>
      </c>
      <c r="B121" s="155" t="s">
        <v>447</v>
      </c>
      <c r="C121" s="154" t="s">
        <v>448</v>
      </c>
      <c r="D121" s="153" t="s">
        <v>467</v>
      </c>
      <c r="E121" s="153" t="s">
        <v>241</v>
      </c>
      <c r="F121" s="153" t="s">
        <v>465</v>
      </c>
      <c r="G121" s="153" t="s">
        <v>197</v>
      </c>
      <c r="H121" s="153" t="s">
        <v>200</v>
      </c>
      <c r="I121" s="153" t="s">
        <v>87</v>
      </c>
      <c r="J121" s="153" t="s">
        <v>451</v>
      </c>
      <c r="K121" s="153" t="s">
        <v>452</v>
      </c>
      <c r="L121" s="152">
        <v>6.9</v>
      </c>
    </row>
    <row r="122" spans="1:12" x14ac:dyDescent="0.25">
      <c r="A122" s="159">
        <v>697238204036</v>
      </c>
      <c r="B122" s="151" t="s">
        <v>447</v>
      </c>
      <c r="C122" s="150" t="s">
        <v>448</v>
      </c>
      <c r="D122" s="149" t="s">
        <v>468</v>
      </c>
      <c r="E122" s="149" t="s">
        <v>241</v>
      </c>
      <c r="F122" s="149" t="s">
        <v>465</v>
      </c>
      <c r="G122" s="149" t="s">
        <v>87</v>
      </c>
      <c r="H122" s="149" t="s">
        <v>204</v>
      </c>
      <c r="I122" s="149" t="s">
        <v>182</v>
      </c>
      <c r="J122" s="149" t="s">
        <v>451</v>
      </c>
      <c r="K122" s="149" t="s">
        <v>452</v>
      </c>
      <c r="L122" s="148">
        <v>6.9</v>
      </c>
    </row>
    <row r="123" spans="1:12" x14ac:dyDescent="0.25">
      <c r="A123" s="159">
        <v>697238205026</v>
      </c>
      <c r="B123" s="151" t="s">
        <v>447</v>
      </c>
      <c r="C123" s="150" t="s">
        <v>448</v>
      </c>
      <c r="D123" s="149" t="s">
        <v>469</v>
      </c>
      <c r="E123" s="149" t="s">
        <v>241</v>
      </c>
      <c r="F123" s="149" t="s">
        <v>470</v>
      </c>
      <c r="G123" s="149" t="s">
        <v>87</v>
      </c>
      <c r="H123" s="149" t="s">
        <v>87</v>
      </c>
      <c r="I123" s="149" t="s">
        <v>87</v>
      </c>
      <c r="J123" s="149" t="s">
        <v>451</v>
      </c>
      <c r="K123" s="149" t="s">
        <v>452</v>
      </c>
      <c r="L123" s="148">
        <v>4.9000000000000004</v>
      </c>
    </row>
    <row r="124" spans="1:12" x14ac:dyDescent="0.25">
      <c r="A124" s="159">
        <v>697238205033</v>
      </c>
      <c r="B124" s="151" t="s">
        <v>447</v>
      </c>
      <c r="C124" s="150" t="s">
        <v>448</v>
      </c>
      <c r="D124" s="149" t="s">
        <v>471</v>
      </c>
      <c r="E124" s="149" t="s">
        <v>241</v>
      </c>
      <c r="F124" s="149" t="s">
        <v>470</v>
      </c>
      <c r="G124" s="149" t="s">
        <v>87</v>
      </c>
      <c r="H124" s="149" t="s">
        <v>87</v>
      </c>
      <c r="I124" s="149" t="s">
        <v>87</v>
      </c>
      <c r="J124" s="149" t="s">
        <v>451</v>
      </c>
      <c r="K124" s="149" t="s">
        <v>452</v>
      </c>
      <c r="L124" s="148">
        <v>4.9000000000000004</v>
      </c>
    </row>
    <row r="125" spans="1:12" x14ac:dyDescent="0.25">
      <c r="A125" s="160">
        <v>697238205088</v>
      </c>
      <c r="B125" s="155" t="s">
        <v>447</v>
      </c>
      <c r="C125" s="154" t="s">
        <v>448</v>
      </c>
      <c r="D125" s="153" t="s">
        <v>472</v>
      </c>
      <c r="E125" s="153" t="s">
        <v>241</v>
      </c>
      <c r="F125" s="153" t="s">
        <v>473</v>
      </c>
      <c r="G125" s="153" t="s">
        <v>87</v>
      </c>
      <c r="H125" s="153" t="s">
        <v>87</v>
      </c>
      <c r="I125" s="153" t="s">
        <v>87</v>
      </c>
      <c r="J125" s="153" t="s">
        <v>451</v>
      </c>
      <c r="K125" s="153" t="s">
        <v>452</v>
      </c>
      <c r="L125" s="152">
        <v>4.9000000000000004</v>
      </c>
    </row>
    <row r="126" spans="1:12" x14ac:dyDescent="0.25">
      <c r="A126" s="159">
        <v>697238205095</v>
      </c>
      <c r="B126" s="151" t="s">
        <v>447</v>
      </c>
      <c r="C126" s="150" t="s">
        <v>448</v>
      </c>
      <c r="D126" s="149" t="s">
        <v>474</v>
      </c>
      <c r="E126" s="149" t="s">
        <v>241</v>
      </c>
      <c r="F126" s="149" t="s">
        <v>473</v>
      </c>
      <c r="G126" s="149" t="s">
        <v>87</v>
      </c>
      <c r="H126" s="149" t="s">
        <v>87</v>
      </c>
      <c r="I126" s="149" t="s">
        <v>87</v>
      </c>
      <c r="J126" s="149" t="s">
        <v>451</v>
      </c>
      <c r="K126" s="149" t="s">
        <v>452</v>
      </c>
      <c r="L126" s="148">
        <v>4.9000000000000004</v>
      </c>
    </row>
    <row r="127" spans="1:12" x14ac:dyDescent="0.25">
      <c r="A127" s="160">
        <v>697238207020</v>
      </c>
      <c r="B127" s="155" t="s">
        <v>447</v>
      </c>
      <c r="C127" s="154" t="s">
        <v>448</v>
      </c>
      <c r="D127" s="153" t="s">
        <v>56</v>
      </c>
      <c r="E127" s="153" t="s">
        <v>241</v>
      </c>
      <c r="F127" s="153" t="s">
        <v>475</v>
      </c>
      <c r="G127" s="153" t="s">
        <v>87</v>
      </c>
      <c r="H127" s="153" t="s">
        <v>219</v>
      </c>
      <c r="I127" s="153" t="s">
        <v>87</v>
      </c>
      <c r="J127" s="153" t="s">
        <v>451</v>
      </c>
      <c r="K127" s="153" t="s">
        <v>452</v>
      </c>
      <c r="L127" s="152">
        <v>6.5</v>
      </c>
    </row>
    <row r="128" spans="1:12" x14ac:dyDescent="0.25">
      <c r="A128" s="160">
        <v>697238207037</v>
      </c>
      <c r="B128" s="155" t="s">
        <v>447</v>
      </c>
      <c r="C128" s="154" t="s">
        <v>448</v>
      </c>
      <c r="D128" s="153" t="s">
        <v>476</v>
      </c>
      <c r="E128" s="153" t="s">
        <v>241</v>
      </c>
      <c r="F128" s="153" t="s">
        <v>475</v>
      </c>
      <c r="G128" s="153" t="s">
        <v>87</v>
      </c>
      <c r="H128" s="153" t="s">
        <v>87</v>
      </c>
      <c r="I128" s="153" t="s">
        <v>87</v>
      </c>
      <c r="J128" s="153" t="s">
        <v>451</v>
      </c>
      <c r="K128" s="153" t="s">
        <v>452</v>
      </c>
      <c r="L128" s="152">
        <v>6.5</v>
      </c>
    </row>
    <row r="129" spans="1:12" x14ac:dyDescent="0.25">
      <c r="A129" s="159">
        <v>697238207051</v>
      </c>
      <c r="B129" s="151" t="s">
        <v>447</v>
      </c>
      <c r="C129" s="150" t="s">
        <v>448</v>
      </c>
      <c r="D129" s="149" t="s">
        <v>474</v>
      </c>
      <c r="E129" s="149" t="s">
        <v>241</v>
      </c>
      <c r="F129" s="149" t="s">
        <v>475</v>
      </c>
      <c r="G129" s="149" t="s">
        <v>87</v>
      </c>
      <c r="H129" s="149" t="s">
        <v>87</v>
      </c>
      <c r="I129" s="149" t="s">
        <v>87</v>
      </c>
      <c r="J129" s="149" t="s">
        <v>451</v>
      </c>
      <c r="K129" s="149" t="s">
        <v>452</v>
      </c>
      <c r="L129" s="148">
        <v>6.5</v>
      </c>
    </row>
    <row r="130" spans="1:12" x14ac:dyDescent="0.25">
      <c r="A130" s="159">
        <v>826966011801</v>
      </c>
      <c r="B130" s="151" t="s">
        <v>447</v>
      </c>
      <c r="C130" s="150" t="s">
        <v>448</v>
      </c>
      <c r="D130" s="149" t="s">
        <v>477</v>
      </c>
      <c r="E130" s="149" t="s">
        <v>241</v>
      </c>
      <c r="F130" s="149" t="s">
        <v>478</v>
      </c>
      <c r="G130" s="149" t="s">
        <v>87</v>
      </c>
      <c r="H130" s="149" t="s">
        <v>87</v>
      </c>
      <c r="I130" s="149" t="s">
        <v>87</v>
      </c>
      <c r="J130" s="149" t="s">
        <v>479</v>
      </c>
      <c r="K130" s="149" t="s">
        <v>452</v>
      </c>
      <c r="L130" s="148">
        <v>5.3</v>
      </c>
    </row>
    <row r="131" spans="1:12" x14ac:dyDescent="0.25">
      <c r="A131" s="160">
        <v>826966011818</v>
      </c>
      <c r="B131" s="155" t="s">
        <v>447</v>
      </c>
      <c r="C131" s="154" t="s">
        <v>448</v>
      </c>
      <c r="D131" s="153" t="s">
        <v>83</v>
      </c>
      <c r="E131" s="153" t="s">
        <v>241</v>
      </c>
      <c r="F131" s="153" t="s">
        <v>478</v>
      </c>
      <c r="G131" s="153" t="s">
        <v>87</v>
      </c>
      <c r="H131" s="153" t="s">
        <v>87</v>
      </c>
      <c r="I131" s="153" t="s">
        <v>87</v>
      </c>
      <c r="J131" s="153" t="s">
        <v>479</v>
      </c>
      <c r="K131" s="153" t="s">
        <v>452</v>
      </c>
      <c r="L131" s="152">
        <v>5.3</v>
      </c>
    </row>
    <row r="132" spans="1:12" x14ac:dyDescent="0.25">
      <c r="A132" s="159">
        <v>826966011825</v>
      </c>
      <c r="B132" s="151" t="s">
        <v>447</v>
      </c>
      <c r="C132" s="150" t="s">
        <v>448</v>
      </c>
      <c r="D132" s="149" t="s">
        <v>84</v>
      </c>
      <c r="E132" s="149" t="s">
        <v>241</v>
      </c>
      <c r="F132" s="149" t="s">
        <v>478</v>
      </c>
      <c r="G132" s="149" t="s">
        <v>87</v>
      </c>
      <c r="H132" s="149" t="s">
        <v>87</v>
      </c>
      <c r="I132" s="149" t="s">
        <v>87</v>
      </c>
      <c r="J132" s="149" t="s">
        <v>479</v>
      </c>
      <c r="K132" s="149" t="s">
        <v>452</v>
      </c>
      <c r="L132" s="148">
        <v>5.3</v>
      </c>
    </row>
    <row r="133" spans="1:12" x14ac:dyDescent="0.25">
      <c r="A133" s="160">
        <v>826966012525</v>
      </c>
      <c r="B133" s="155" t="s">
        <v>447</v>
      </c>
      <c r="C133" s="154" t="s">
        <v>448</v>
      </c>
      <c r="D133" s="153" t="s">
        <v>480</v>
      </c>
      <c r="E133" s="153" t="s">
        <v>241</v>
      </c>
      <c r="F133" s="153" t="s">
        <v>478</v>
      </c>
      <c r="G133" s="153" t="s">
        <v>87</v>
      </c>
      <c r="H133" s="153" t="s">
        <v>87</v>
      </c>
      <c r="I133" s="153" t="s">
        <v>87</v>
      </c>
      <c r="J133" s="153" t="s">
        <v>451</v>
      </c>
      <c r="K133" s="153" t="s">
        <v>452</v>
      </c>
      <c r="L133" s="152">
        <v>5.8</v>
      </c>
    </row>
    <row r="134" spans="1:12" x14ac:dyDescent="0.25">
      <c r="A134" s="159">
        <v>826966012532</v>
      </c>
      <c r="B134" s="151" t="s">
        <v>447</v>
      </c>
      <c r="C134" s="150" t="s">
        <v>448</v>
      </c>
      <c r="D134" s="149" t="s">
        <v>481</v>
      </c>
      <c r="E134" s="149" t="s">
        <v>241</v>
      </c>
      <c r="F134" s="149" t="s">
        <v>478</v>
      </c>
      <c r="G134" s="149" t="s">
        <v>87</v>
      </c>
      <c r="H134" s="149" t="s">
        <v>87</v>
      </c>
      <c r="I134" s="149" t="s">
        <v>87</v>
      </c>
      <c r="J134" s="149" t="s">
        <v>451</v>
      </c>
      <c r="K134" s="149" t="s">
        <v>452</v>
      </c>
      <c r="L134" s="148">
        <v>5.8</v>
      </c>
    </row>
    <row r="135" spans="1:12" x14ac:dyDescent="0.25">
      <c r="A135" s="160">
        <v>826966012792</v>
      </c>
      <c r="B135" s="155" t="s">
        <v>447</v>
      </c>
      <c r="C135" s="154" t="s">
        <v>448</v>
      </c>
      <c r="D135" s="153" t="s">
        <v>81</v>
      </c>
      <c r="E135" s="153" t="s">
        <v>241</v>
      </c>
      <c r="F135" s="153" t="s">
        <v>478</v>
      </c>
      <c r="G135" s="153" t="s">
        <v>87</v>
      </c>
      <c r="H135" s="153" t="s">
        <v>87</v>
      </c>
      <c r="I135" s="153" t="s">
        <v>87</v>
      </c>
      <c r="J135" s="153" t="s">
        <v>479</v>
      </c>
      <c r="K135" s="153" t="s">
        <v>452</v>
      </c>
      <c r="L135" s="152">
        <v>5.3</v>
      </c>
    </row>
    <row r="136" spans="1:12" x14ac:dyDescent="0.25">
      <c r="A136" s="160">
        <v>826966012808</v>
      </c>
      <c r="B136" s="155" t="s">
        <v>447</v>
      </c>
      <c r="C136" s="154" t="s">
        <v>448</v>
      </c>
      <c r="D136" s="153" t="s">
        <v>482</v>
      </c>
      <c r="E136" s="153" t="s">
        <v>241</v>
      </c>
      <c r="F136" s="153" t="s">
        <v>483</v>
      </c>
      <c r="G136" s="153" t="s">
        <v>87</v>
      </c>
      <c r="H136" s="153" t="s">
        <v>87</v>
      </c>
      <c r="I136" s="153" t="s">
        <v>87</v>
      </c>
      <c r="J136" s="153" t="s">
        <v>479</v>
      </c>
      <c r="K136" s="153" t="s">
        <v>452</v>
      </c>
      <c r="L136" s="152">
        <v>6.5</v>
      </c>
    </row>
    <row r="137" spans="1:12" x14ac:dyDescent="0.25">
      <c r="A137" s="159">
        <v>826966012822</v>
      </c>
      <c r="B137" s="151" t="s">
        <v>447</v>
      </c>
      <c r="C137" s="150" t="s">
        <v>448</v>
      </c>
      <c r="D137" s="149" t="s">
        <v>484</v>
      </c>
      <c r="E137" s="149" t="s">
        <v>241</v>
      </c>
      <c r="F137" s="149" t="s">
        <v>483</v>
      </c>
      <c r="G137" s="149" t="s">
        <v>87</v>
      </c>
      <c r="H137" s="149" t="s">
        <v>87</v>
      </c>
      <c r="I137" s="149" t="s">
        <v>87</v>
      </c>
      <c r="J137" s="149" t="s">
        <v>479</v>
      </c>
      <c r="K137" s="149" t="s">
        <v>452</v>
      </c>
      <c r="L137" s="148">
        <v>6.5</v>
      </c>
    </row>
    <row r="138" spans="1:12" x14ac:dyDescent="0.25">
      <c r="A138" s="159">
        <v>876560000053</v>
      </c>
      <c r="B138" s="151" t="s">
        <v>447</v>
      </c>
      <c r="C138" s="150" t="s">
        <v>448</v>
      </c>
      <c r="D138" s="149" t="s">
        <v>57</v>
      </c>
      <c r="E138" s="149" t="s">
        <v>241</v>
      </c>
      <c r="F138" s="149" t="s">
        <v>485</v>
      </c>
      <c r="G138" s="149" t="s">
        <v>87</v>
      </c>
      <c r="H138" s="149" t="s">
        <v>182</v>
      </c>
      <c r="I138" s="149" t="s">
        <v>219</v>
      </c>
      <c r="J138" s="149" t="s">
        <v>451</v>
      </c>
      <c r="K138" s="149" t="s">
        <v>452</v>
      </c>
      <c r="L138" s="148">
        <v>5.9</v>
      </c>
    </row>
    <row r="139" spans="1:12" x14ac:dyDescent="0.25">
      <c r="A139" s="159">
        <v>876560000060</v>
      </c>
      <c r="B139" s="151" t="s">
        <v>447</v>
      </c>
      <c r="C139" s="150" t="s">
        <v>448</v>
      </c>
      <c r="D139" s="149" t="s">
        <v>58</v>
      </c>
      <c r="E139" s="149" t="s">
        <v>241</v>
      </c>
      <c r="F139" s="149" t="s">
        <v>485</v>
      </c>
      <c r="G139" s="149" t="s">
        <v>87</v>
      </c>
      <c r="H139" s="149" t="s">
        <v>182</v>
      </c>
      <c r="I139" s="149" t="s">
        <v>204</v>
      </c>
      <c r="J139" s="149" t="s">
        <v>451</v>
      </c>
      <c r="K139" s="149" t="s">
        <v>452</v>
      </c>
      <c r="L139" s="148">
        <v>5.9</v>
      </c>
    </row>
    <row r="140" spans="1:12" ht="15.75" thickBot="1" x14ac:dyDescent="0.3"/>
    <row r="141" spans="1:12" x14ac:dyDescent="0.25">
      <c r="A141" s="471" t="s">
        <v>486</v>
      </c>
      <c r="B141" s="472"/>
      <c r="C141" s="472"/>
      <c r="D141" s="472"/>
      <c r="E141" s="472"/>
      <c r="F141" s="472"/>
      <c r="G141" s="472"/>
      <c r="H141" s="472"/>
      <c r="I141" s="472"/>
      <c r="J141" s="472"/>
      <c r="K141" s="472"/>
      <c r="L141" s="473"/>
    </row>
    <row r="142" spans="1:12" ht="15.75" thickBot="1" x14ac:dyDescent="0.3">
      <c r="A142" s="474"/>
      <c r="B142" s="475"/>
      <c r="C142" s="475"/>
      <c r="D142" s="475"/>
      <c r="E142" s="475"/>
      <c r="F142" s="475"/>
      <c r="G142" s="475"/>
      <c r="H142" s="475"/>
      <c r="I142" s="475"/>
      <c r="J142" s="475"/>
      <c r="K142" s="475"/>
      <c r="L142" s="476"/>
    </row>
    <row r="144" spans="1:12" x14ac:dyDescent="0.25">
      <c r="A144" s="158" t="s">
        <v>169</v>
      </c>
      <c r="B144" s="158" t="s">
        <v>170</v>
      </c>
      <c r="C144" s="157" t="s">
        <v>171</v>
      </c>
      <c r="D144" s="156" t="s">
        <v>168</v>
      </c>
      <c r="E144" s="156" t="s">
        <v>173</v>
      </c>
      <c r="F144" s="156" t="s">
        <v>4</v>
      </c>
      <c r="G144" s="156" t="s">
        <v>174</v>
      </c>
      <c r="H144" s="156" t="s">
        <v>122</v>
      </c>
      <c r="I144" s="156" t="s">
        <v>326</v>
      </c>
      <c r="J144" s="156" t="s">
        <v>5</v>
      </c>
      <c r="K144" s="156" t="s">
        <v>327</v>
      </c>
      <c r="L144" s="156" t="s">
        <v>6</v>
      </c>
    </row>
    <row r="145" spans="1:12" x14ac:dyDescent="0.25">
      <c r="A145" s="159">
        <v>628011336002</v>
      </c>
      <c r="B145" s="151" t="s">
        <v>447</v>
      </c>
      <c r="C145" s="150" t="s">
        <v>448</v>
      </c>
      <c r="D145" s="149" t="s">
        <v>487</v>
      </c>
      <c r="E145" s="149" t="s">
        <v>241</v>
      </c>
      <c r="F145" s="149" t="s">
        <v>252</v>
      </c>
      <c r="G145" s="149" t="s">
        <v>87</v>
      </c>
      <c r="H145" s="149" t="s">
        <v>87</v>
      </c>
      <c r="I145" s="149" t="s">
        <v>87</v>
      </c>
      <c r="J145" s="149" t="s">
        <v>488</v>
      </c>
      <c r="K145" s="149" t="s">
        <v>489</v>
      </c>
      <c r="L145" s="148">
        <v>14</v>
      </c>
    </row>
    <row r="146" spans="1:12" x14ac:dyDescent="0.25">
      <c r="A146" s="159">
        <v>628011336019</v>
      </c>
      <c r="B146" s="151" t="s">
        <v>447</v>
      </c>
      <c r="C146" s="150" t="s">
        <v>448</v>
      </c>
      <c r="D146" s="149" t="s">
        <v>490</v>
      </c>
      <c r="E146" s="149" t="s">
        <v>241</v>
      </c>
      <c r="F146" s="149" t="s">
        <v>252</v>
      </c>
      <c r="G146" s="149" t="s">
        <v>87</v>
      </c>
      <c r="H146" s="149" t="s">
        <v>87</v>
      </c>
      <c r="I146" s="149" t="s">
        <v>87</v>
      </c>
      <c r="J146" s="149" t="s">
        <v>488</v>
      </c>
      <c r="K146" s="149" t="s">
        <v>489</v>
      </c>
      <c r="L146" s="148">
        <v>14</v>
      </c>
    </row>
    <row r="147" spans="1:12" x14ac:dyDescent="0.25">
      <c r="A147" s="160">
        <v>628011336026</v>
      </c>
      <c r="B147" s="155" t="s">
        <v>447</v>
      </c>
      <c r="C147" s="154" t="s">
        <v>448</v>
      </c>
      <c r="D147" s="153" t="s">
        <v>491</v>
      </c>
      <c r="E147" s="153" t="s">
        <v>241</v>
      </c>
      <c r="F147" s="153" t="s">
        <v>252</v>
      </c>
      <c r="G147" s="153" t="s">
        <v>87</v>
      </c>
      <c r="H147" s="153" t="s">
        <v>87</v>
      </c>
      <c r="I147" s="153" t="s">
        <v>87</v>
      </c>
      <c r="J147" s="153" t="s">
        <v>488</v>
      </c>
      <c r="K147" s="153" t="s">
        <v>489</v>
      </c>
      <c r="L147" s="152">
        <v>14</v>
      </c>
    </row>
    <row r="148" spans="1:12" x14ac:dyDescent="0.25">
      <c r="A148" s="160">
        <v>628011336200</v>
      </c>
      <c r="B148" s="155" t="s">
        <v>447</v>
      </c>
      <c r="C148" s="154" t="s">
        <v>448</v>
      </c>
      <c r="D148" s="153" t="s">
        <v>490</v>
      </c>
      <c r="E148" s="153" t="s">
        <v>241</v>
      </c>
      <c r="F148" s="153" t="s">
        <v>252</v>
      </c>
      <c r="G148" s="153" t="s">
        <v>87</v>
      </c>
      <c r="H148" s="153" t="s">
        <v>87</v>
      </c>
      <c r="I148" s="153" t="s">
        <v>87</v>
      </c>
      <c r="J148" s="153" t="s">
        <v>492</v>
      </c>
      <c r="K148" s="153" t="s">
        <v>489</v>
      </c>
      <c r="L148" s="152">
        <v>14</v>
      </c>
    </row>
    <row r="149" spans="1:12" x14ac:dyDescent="0.25">
      <c r="A149" s="159">
        <v>628011336217</v>
      </c>
      <c r="B149" s="151" t="s">
        <v>447</v>
      </c>
      <c r="C149" s="150" t="s">
        <v>448</v>
      </c>
      <c r="D149" s="149" t="s">
        <v>491</v>
      </c>
      <c r="E149" s="149" t="s">
        <v>241</v>
      </c>
      <c r="F149" s="149" t="s">
        <v>252</v>
      </c>
      <c r="G149" s="149" t="s">
        <v>87</v>
      </c>
      <c r="H149" s="149" t="s">
        <v>87</v>
      </c>
      <c r="I149" s="149" t="s">
        <v>87</v>
      </c>
      <c r="J149" s="149" t="s">
        <v>492</v>
      </c>
      <c r="K149" s="149" t="s">
        <v>489</v>
      </c>
      <c r="L149" s="148">
        <v>14</v>
      </c>
    </row>
    <row r="150" spans="1:12" x14ac:dyDescent="0.25">
      <c r="A150" s="159">
        <v>826966011870</v>
      </c>
      <c r="B150" s="151" t="s">
        <v>447</v>
      </c>
      <c r="C150" s="150" t="s">
        <v>448</v>
      </c>
      <c r="D150" s="149" t="s">
        <v>493</v>
      </c>
      <c r="E150" s="149" t="s">
        <v>241</v>
      </c>
      <c r="F150" s="149" t="s">
        <v>478</v>
      </c>
      <c r="G150" s="149" t="s">
        <v>87</v>
      </c>
      <c r="H150" s="149" t="s">
        <v>87</v>
      </c>
      <c r="I150" s="149" t="s">
        <v>87</v>
      </c>
      <c r="J150" s="149" t="s">
        <v>488</v>
      </c>
      <c r="K150" s="149" t="s">
        <v>489</v>
      </c>
      <c r="L150" s="148">
        <v>16.8</v>
      </c>
    </row>
    <row r="151" spans="1:12" x14ac:dyDescent="0.25">
      <c r="A151" s="160">
        <v>826966012068</v>
      </c>
      <c r="B151" s="155" t="s">
        <v>447</v>
      </c>
      <c r="C151" s="154" t="s">
        <v>448</v>
      </c>
      <c r="D151" s="153" t="s">
        <v>494</v>
      </c>
      <c r="E151" s="153" t="s">
        <v>241</v>
      </c>
      <c r="F151" s="153" t="s">
        <v>478</v>
      </c>
      <c r="G151" s="153" t="s">
        <v>87</v>
      </c>
      <c r="H151" s="153" t="s">
        <v>87</v>
      </c>
      <c r="I151" s="153" t="s">
        <v>87</v>
      </c>
      <c r="J151" s="153" t="s">
        <v>488</v>
      </c>
      <c r="K151" s="153" t="s">
        <v>489</v>
      </c>
      <c r="L151" s="152">
        <v>16.8</v>
      </c>
    </row>
    <row r="152" spans="1:12" x14ac:dyDescent="0.25">
      <c r="A152" s="160">
        <v>826966012082</v>
      </c>
      <c r="B152" s="155" t="s">
        <v>447</v>
      </c>
      <c r="C152" s="154" t="s">
        <v>448</v>
      </c>
      <c r="D152" s="153" t="s">
        <v>495</v>
      </c>
      <c r="E152" s="153" t="s">
        <v>241</v>
      </c>
      <c r="F152" s="153" t="s">
        <v>478</v>
      </c>
      <c r="G152" s="153" t="s">
        <v>87</v>
      </c>
      <c r="H152" s="153" t="s">
        <v>87</v>
      </c>
      <c r="I152" s="153" t="s">
        <v>87</v>
      </c>
      <c r="J152" s="153" t="s">
        <v>488</v>
      </c>
      <c r="K152" s="153" t="s">
        <v>489</v>
      </c>
      <c r="L152" s="152">
        <v>16.8</v>
      </c>
    </row>
    <row r="153" spans="1:12" x14ac:dyDescent="0.25">
      <c r="A153" s="159">
        <v>826966012174</v>
      </c>
      <c r="B153" s="151" t="s">
        <v>447</v>
      </c>
      <c r="C153" s="150" t="s">
        <v>448</v>
      </c>
      <c r="D153" s="149" t="s">
        <v>496</v>
      </c>
      <c r="E153" s="149" t="s">
        <v>241</v>
      </c>
      <c r="F153" s="149" t="s">
        <v>478</v>
      </c>
      <c r="G153" s="149" t="s">
        <v>87</v>
      </c>
      <c r="H153" s="149" t="s">
        <v>87</v>
      </c>
      <c r="I153" s="149" t="s">
        <v>87</v>
      </c>
      <c r="J153" s="149" t="s">
        <v>488</v>
      </c>
      <c r="K153" s="149" t="s">
        <v>489</v>
      </c>
      <c r="L153" s="148">
        <v>16.8</v>
      </c>
    </row>
    <row r="154" spans="1:12" x14ac:dyDescent="0.25">
      <c r="A154" s="160">
        <v>827763001132</v>
      </c>
      <c r="B154" s="155" t="s">
        <v>447</v>
      </c>
      <c r="C154" s="154" t="s">
        <v>448</v>
      </c>
      <c r="D154" s="153" t="s">
        <v>497</v>
      </c>
      <c r="E154" s="153" t="s">
        <v>241</v>
      </c>
      <c r="F154" s="153" t="s">
        <v>498</v>
      </c>
      <c r="G154" s="153" t="s">
        <v>87</v>
      </c>
      <c r="H154" s="153" t="s">
        <v>87</v>
      </c>
      <c r="I154" s="153" t="s">
        <v>87</v>
      </c>
      <c r="J154" s="153" t="s">
        <v>499</v>
      </c>
      <c r="K154" s="153" t="s">
        <v>489</v>
      </c>
      <c r="L154" s="152">
        <v>35</v>
      </c>
    </row>
    <row r="155" spans="1:12" x14ac:dyDescent="0.25">
      <c r="A155" s="160">
        <v>827763001156</v>
      </c>
      <c r="B155" s="155" t="s">
        <v>447</v>
      </c>
      <c r="C155" s="154" t="s">
        <v>448</v>
      </c>
      <c r="D155" s="153" t="s">
        <v>500</v>
      </c>
      <c r="E155" s="153" t="s">
        <v>241</v>
      </c>
      <c r="F155" s="153" t="s">
        <v>498</v>
      </c>
      <c r="G155" s="153" t="s">
        <v>87</v>
      </c>
      <c r="H155" s="153" t="s">
        <v>87</v>
      </c>
      <c r="I155" s="153" t="s">
        <v>87</v>
      </c>
      <c r="J155" s="153" t="s">
        <v>501</v>
      </c>
      <c r="K155" s="153" t="s">
        <v>489</v>
      </c>
      <c r="L155" s="152">
        <v>14.9</v>
      </c>
    </row>
    <row r="156" spans="1:12" x14ac:dyDescent="0.25">
      <c r="A156" s="159">
        <v>827763001255</v>
      </c>
      <c r="B156" s="151" t="s">
        <v>447</v>
      </c>
      <c r="C156" s="150" t="s">
        <v>448</v>
      </c>
      <c r="D156" s="149" t="s">
        <v>502</v>
      </c>
      <c r="E156" s="149" t="s">
        <v>241</v>
      </c>
      <c r="F156" s="149" t="s">
        <v>498</v>
      </c>
      <c r="G156" s="149" t="s">
        <v>87</v>
      </c>
      <c r="H156" s="149" t="s">
        <v>87</v>
      </c>
      <c r="I156" s="149" t="s">
        <v>87</v>
      </c>
      <c r="J156" s="149" t="s">
        <v>492</v>
      </c>
      <c r="K156" s="149" t="s">
        <v>489</v>
      </c>
      <c r="L156" s="148">
        <v>9.9</v>
      </c>
    </row>
  </sheetData>
  <mergeCells count="5">
    <mergeCell ref="A2:L3"/>
    <mergeCell ref="A42:L43"/>
    <mergeCell ref="A63:L64"/>
    <mergeCell ref="A97:L98"/>
    <mergeCell ref="A141:L142"/>
  </mergeCells>
  <conditionalFormatting sqref="A6:A40">
    <cfRule type="duplicateValues" dxfId="4" priority="4"/>
  </conditionalFormatting>
  <conditionalFormatting sqref="A46:A61">
    <cfRule type="duplicateValues" dxfId="3" priority="3"/>
  </conditionalFormatting>
  <conditionalFormatting sqref="A67:A95">
    <cfRule type="duplicateValues" dxfId="2" priority="2"/>
  </conditionalFormatting>
  <conditionalFormatting sqref="A101:A139">
    <cfRule type="duplicateValues" dxfId="1" priority="5"/>
  </conditionalFormatting>
  <conditionalFormatting sqref="A145:A156">
    <cfRule type="duplicateValues" dxfId="0" priority="1"/>
  </conditionalFormatting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E20BA53BB41F47AB1159B011DF89BA" ma:contentTypeVersion="13" ma:contentTypeDescription="Crée un document." ma:contentTypeScope="" ma:versionID="c6f695d0dc83a828b9e5baf94c53510a">
  <xsd:schema xmlns:xsd="http://www.w3.org/2001/XMLSchema" xmlns:xs="http://www.w3.org/2001/XMLSchema" xmlns:p="http://schemas.microsoft.com/office/2006/metadata/properties" xmlns:ns2="ebcab35e-d297-4e46-b695-baf9562a7a4c" xmlns:ns3="5a4739b0-d238-44c3-ad08-e07eabd78f0a" targetNamespace="http://schemas.microsoft.com/office/2006/metadata/properties" ma:root="true" ma:fieldsID="4ed23e1feff24a362a71cf7a42a9f0e3" ns2:_="" ns3:_="">
    <xsd:import namespace="ebcab35e-d297-4e46-b695-baf9562a7a4c"/>
    <xsd:import namespace="5a4739b0-d238-44c3-ad08-e07eabd78f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cab35e-d297-4e46-b695-baf9562a7a4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c6f96f34-1d4b-4c95-b74d-6ae0ff703d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4739b0-d238-44c3-ad08-e07eabd78f0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fd8067a8-c4ae-49dc-8d9e-b34b471eba06}" ma:internalName="TaxCatchAll" ma:showField="CatchAllData" ma:web="5a4739b0-d238-44c3-ad08-e07eabd78f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bcab35e-d297-4e46-b695-baf9562a7a4c">
      <Terms xmlns="http://schemas.microsoft.com/office/infopath/2007/PartnerControls"/>
    </lcf76f155ced4ddcb4097134ff3c332f>
    <TaxCatchAll xmlns="5a4739b0-d238-44c3-ad08-e07eabd78f0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E4FE26-41C7-4DD3-844D-D848C774BA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cab35e-d297-4e46-b695-baf9562a7a4c"/>
    <ds:schemaRef ds:uri="5a4739b0-d238-44c3-ad08-e07eabd78f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4A7C28-5281-4879-9289-5415E8FD395A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ebcab35e-d297-4e46-b695-baf9562a7a4c"/>
    <ds:schemaRef ds:uri="http://purl.org/dc/terms/"/>
    <ds:schemaRef ds:uri="http://schemas.openxmlformats.org/package/2006/metadata/core-properties"/>
    <ds:schemaRef ds:uri="5a4739b0-d238-44c3-ad08-e07eabd78f0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1DDEF9B-89CF-4660-BA4C-43B645F7DE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203</vt:i4>
      </vt:variant>
    </vt:vector>
  </HeadingPairs>
  <TitlesOfParts>
    <vt:vector size="225" baseType="lpstr">
      <vt:lpstr>Dérivés (ingestion) (O)</vt:lpstr>
      <vt:lpstr>Comment ça marche</vt:lpstr>
      <vt:lpstr>navigateur</vt:lpstr>
      <vt:lpstr>77004-Lévis</vt:lpstr>
      <vt:lpstr>77005-Bouvier</vt:lpstr>
      <vt:lpstr>77007-Val-Bélair</vt:lpstr>
      <vt:lpstr>77008-St-Nicolas</vt:lpstr>
      <vt:lpstr>77010-Ste-Foy</vt:lpstr>
      <vt:lpstr>77032-Donnacona</vt:lpstr>
      <vt:lpstr>77036-La Malbaie</vt:lpstr>
      <vt:lpstr>77037-St-George</vt:lpstr>
      <vt:lpstr>77041-RDL</vt:lpstr>
      <vt:lpstr>77044-Les Saules</vt:lpstr>
      <vt:lpstr>77052-Beauport</vt:lpstr>
      <vt:lpstr>77053-Thetford</vt:lpstr>
      <vt:lpstr>77056-Ste-Anne</vt:lpstr>
      <vt:lpstr>77074-Vieux-Québec</vt:lpstr>
      <vt:lpstr>77083-Neuchâtel</vt:lpstr>
      <vt:lpstr>77090-Quatres-Bourgeois</vt:lpstr>
      <vt:lpstr>77096-Aylmer</vt:lpstr>
      <vt:lpstr>Base données formats</vt:lpstr>
      <vt:lpstr>Base Dérivés</vt:lpstr>
      <vt:lpstr>Base15g</vt:lpstr>
      <vt:lpstr>'77005-Bouvier'!Boissons</vt:lpstr>
      <vt:lpstr>'77007-Val-Bélair'!Boissons</vt:lpstr>
      <vt:lpstr>'77008-St-Nicolas'!Boissons</vt:lpstr>
      <vt:lpstr>'77010-Ste-Foy'!Boissons</vt:lpstr>
      <vt:lpstr>'77032-Donnacona'!Boissons</vt:lpstr>
      <vt:lpstr>'77036-La Malbaie'!Boissons</vt:lpstr>
      <vt:lpstr>'77037-St-George'!Boissons</vt:lpstr>
      <vt:lpstr>'77041-RDL'!Boissons</vt:lpstr>
      <vt:lpstr>'77044-Les Saules'!Boissons</vt:lpstr>
      <vt:lpstr>'77052-Beauport'!Boissons</vt:lpstr>
      <vt:lpstr>'77053-Thetford'!Boissons</vt:lpstr>
      <vt:lpstr>'77056-Ste-Anne'!Boissons</vt:lpstr>
      <vt:lpstr>'77074-Vieux-Québec'!Boissons</vt:lpstr>
      <vt:lpstr>'77083-Neuchâtel'!Boissons</vt:lpstr>
      <vt:lpstr>'77090-Quatres-Bourgeois'!Boissons</vt:lpstr>
      <vt:lpstr>'77096-Aylmer'!Boissons</vt:lpstr>
      <vt:lpstr>Boissons</vt:lpstr>
      <vt:lpstr>'77008-St-Nicolas'!boissons2</vt:lpstr>
      <vt:lpstr>'77010-Ste-Foy'!boissons2</vt:lpstr>
      <vt:lpstr>'77032-Donnacona'!boissons2</vt:lpstr>
      <vt:lpstr>'77036-La Malbaie'!boissons2</vt:lpstr>
      <vt:lpstr>'77037-St-George'!boissons2</vt:lpstr>
      <vt:lpstr>'77041-RDL'!boissons2</vt:lpstr>
      <vt:lpstr>'77044-Les Saules'!boissons2</vt:lpstr>
      <vt:lpstr>'77052-Beauport'!boissons2</vt:lpstr>
      <vt:lpstr>'77053-Thetford'!boissons2</vt:lpstr>
      <vt:lpstr>'77056-Ste-Anne'!boissons2</vt:lpstr>
      <vt:lpstr>'77074-Vieux-Québec'!boissons2</vt:lpstr>
      <vt:lpstr>'77083-Neuchâtel'!boissons2</vt:lpstr>
      <vt:lpstr>'77090-Quatres-Bourgeois'!boissons2</vt:lpstr>
      <vt:lpstr>'77096-Aylmer'!boissons2</vt:lpstr>
      <vt:lpstr>boissons2</vt:lpstr>
      <vt:lpstr>'77005-Bouvier'!formatrecto</vt:lpstr>
      <vt:lpstr>'77007-Val-Bélair'!formatrecto</vt:lpstr>
      <vt:lpstr>'77008-St-Nicolas'!formatrecto</vt:lpstr>
      <vt:lpstr>'77010-Ste-Foy'!formatrecto</vt:lpstr>
      <vt:lpstr>'77032-Donnacona'!formatrecto</vt:lpstr>
      <vt:lpstr>'77036-La Malbaie'!formatrecto</vt:lpstr>
      <vt:lpstr>'77037-St-George'!formatrecto</vt:lpstr>
      <vt:lpstr>'77041-RDL'!formatrecto</vt:lpstr>
      <vt:lpstr>'77044-Les Saules'!formatrecto</vt:lpstr>
      <vt:lpstr>'77052-Beauport'!formatrecto</vt:lpstr>
      <vt:lpstr>'77053-Thetford'!formatrecto</vt:lpstr>
      <vt:lpstr>'77056-Ste-Anne'!formatrecto</vt:lpstr>
      <vt:lpstr>'77074-Vieux-Québec'!formatrecto</vt:lpstr>
      <vt:lpstr>'77083-Neuchâtel'!formatrecto</vt:lpstr>
      <vt:lpstr>'77090-Quatres-Bourgeois'!formatrecto</vt:lpstr>
      <vt:lpstr>'77096-Aylmer'!formatrecto</vt:lpstr>
      <vt:lpstr>formatrecto</vt:lpstr>
      <vt:lpstr>'77005-Bouvier'!formatverso</vt:lpstr>
      <vt:lpstr>'77007-Val-Bélair'!formatverso</vt:lpstr>
      <vt:lpstr>'77008-St-Nicolas'!formatverso</vt:lpstr>
      <vt:lpstr>'77010-Ste-Foy'!formatverso</vt:lpstr>
      <vt:lpstr>'77032-Donnacona'!formatverso</vt:lpstr>
      <vt:lpstr>'77036-La Malbaie'!formatverso</vt:lpstr>
      <vt:lpstr>'77037-St-George'!formatverso</vt:lpstr>
      <vt:lpstr>'77041-RDL'!formatverso</vt:lpstr>
      <vt:lpstr>'77044-Les Saules'!formatverso</vt:lpstr>
      <vt:lpstr>'77052-Beauport'!formatverso</vt:lpstr>
      <vt:lpstr>'77053-Thetford'!formatverso</vt:lpstr>
      <vt:lpstr>'77056-Ste-Anne'!formatverso</vt:lpstr>
      <vt:lpstr>'77074-Vieux-Québec'!formatverso</vt:lpstr>
      <vt:lpstr>'77083-Neuchâtel'!formatverso</vt:lpstr>
      <vt:lpstr>'77090-Quatres-Bourgeois'!formatverso</vt:lpstr>
      <vt:lpstr>'77096-Aylmer'!formatverso</vt:lpstr>
      <vt:lpstr>formatverso</vt:lpstr>
      <vt:lpstr>'77005-Bouvier'!Hasch</vt:lpstr>
      <vt:lpstr>'77007-Val-Bélair'!Hasch</vt:lpstr>
      <vt:lpstr>'77008-St-Nicolas'!Hasch</vt:lpstr>
      <vt:lpstr>'77010-Ste-Foy'!Hasch</vt:lpstr>
      <vt:lpstr>'77032-Donnacona'!Hasch</vt:lpstr>
      <vt:lpstr>'77036-La Malbaie'!Hasch</vt:lpstr>
      <vt:lpstr>'77037-St-George'!Hasch</vt:lpstr>
      <vt:lpstr>'77041-RDL'!Hasch</vt:lpstr>
      <vt:lpstr>'77044-Les Saules'!Hasch</vt:lpstr>
      <vt:lpstr>'77052-Beauport'!Hasch</vt:lpstr>
      <vt:lpstr>'77053-Thetford'!Hasch</vt:lpstr>
      <vt:lpstr>'77056-Ste-Anne'!Hasch</vt:lpstr>
      <vt:lpstr>'77074-Vieux-Québec'!Hasch</vt:lpstr>
      <vt:lpstr>'77083-Neuchâtel'!Hasch</vt:lpstr>
      <vt:lpstr>'77090-Quatres-Bourgeois'!Hasch</vt:lpstr>
      <vt:lpstr>'77096-Aylmer'!Hasch</vt:lpstr>
      <vt:lpstr>Hasch</vt:lpstr>
      <vt:lpstr>'77005-Bouvier'!haschich</vt:lpstr>
      <vt:lpstr>'77007-Val-Bélair'!haschich</vt:lpstr>
      <vt:lpstr>'77008-St-Nicolas'!haschich</vt:lpstr>
      <vt:lpstr>'77010-Ste-Foy'!haschich</vt:lpstr>
      <vt:lpstr>'77032-Donnacona'!haschich</vt:lpstr>
      <vt:lpstr>'77036-La Malbaie'!haschich</vt:lpstr>
      <vt:lpstr>'77037-St-George'!haschich</vt:lpstr>
      <vt:lpstr>'77041-RDL'!haschich</vt:lpstr>
      <vt:lpstr>'77044-Les Saules'!haschich</vt:lpstr>
      <vt:lpstr>'77052-Beauport'!haschich</vt:lpstr>
      <vt:lpstr>'77053-Thetford'!haschich</vt:lpstr>
      <vt:lpstr>'77056-Ste-Anne'!haschich</vt:lpstr>
      <vt:lpstr>'77074-Vieux-Québec'!haschich</vt:lpstr>
      <vt:lpstr>'77083-Neuchâtel'!haschich</vt:lpstr>
      <vt:lpstr>'77090-Quatres-Bourgeois'!haschich</vt:lpstr>
      <vt:lpstr>'77096-Aylmer'!haschich</vt:lpstr>
      <vt:lpstr>haschich</vt:lpstr>
      <vt:lpstr>'77005-Bouvier'!hybride10_15g</vt:lpstr>
      <vt:lpstr>'77007-Val-Bélair'!hybride10_15g</vt:lpstr>
      <vt:lpstr>'77008-St-Nicolas'!hybride10_15g</vt:lpstr>
      <vt:lpstr>'77010-Ste-Foy'!hybride10_15g</vt:lpstr>
      <vt:lpstr>'77032-Donnacona'!hybride10_15g</vt:lpstr>
      <vt:lpstr>'77036-La Malbaie'!hybride10_15g</vt:lpstr>
      <vt:lpstr>'77037-St-George'!hybride10_15g</vt:lpstr>
      <vt:lpstr>'77041-RDL'!hybride10_15g</vt:lpstr>
      <vt:lpstr>'77044-Les Saules'!hybride10_15g</vt:lpstr>
      <vt:lpstr>'77052-Beauport'!hybride10_15g</vt:lpstr>
      <vt:lpstr>'77053-Thetford'!hybride10_15g</vt:lpstr>
      <vt:lpstr>'77056-Ste-Anne'!hybride10_15g</vt:lpstr>
      <vt:lpstr>'77074-Vieux-Québec'!hybride10_15g</vt:lpstr>
      <vt:lpstr>'77083-Neuchâtel'!hybride10_15g</vt:lpstr>
      <vt:lpstr>'77090-Quatres-Bourgeois'!hybride10_15g</vt:lpstr>
      <vt:lpstr>'77096-Aylmer'!hybride10_15g</vt:lpstr>
      <vt:lpstr>hybride10_15g</vt:lpstr>
      <vt:lpstr>'77005-Bouvier'!impgrosformat</vt:lpstr>
      <vt:lpstr>'77007-Val-Bélair'!impgrosformat</vt:lpstr>
      <vt:lpstr>'77008-St-Nicolas'!impgrosformat</vt:lpstr>
      <vt:lpstr>'77010-Ste-Foy'!impgrosformat</vt:lpstr>
      <vt:lpstr>'77032-Donnacona'!impgrosformat</vt:lpstr>
      <vt:lpstr>'77036-La Malbaie'!impgrosformat</vt:lpstr>
      <vt:lpstr>'77037-St-George'!impgrosformat</vt:lpstr>
      <vt:lpstr>'77041-RDL'!impgrosformat</vt:lpstr>
      <vt:lpstr>'77044-Les Saules'!impgrosformat</vt:lpstr>
      <vt:lpstr>'77052-Beauport'!impgrosformat</vt:lpstr>
      <vt:lpstr>'77053-Thetford'!impgrosformat</vt:lpstr>
      <vt:lpstr>'77056-Ste-Anne'!impgrosformat</vt:lpstr>
      <vt:lpstr>'77074-Vieux-Québec'!impgrosformat</vt:lpstr>
      <vt:lpstr>'77083-Neuchâtel'!impgrosformat</vt:lpstr>
      <vt:lpstr>'77090-Quatres-Bourgeois'!impgrosformat</vt:lpstr>
      <vt:lpstr>'77096-Aylmer'!impgrosformat</vt:lpstr>
      <vt:lpstr>impgrosformat</vt:lpstr>
      <vt:lpstr>'77005-Bouvier'!imphasch</vt:lpstr>
      <vt:lpstr>'77007-Val-Bélair'!imphasch</vt:lpstr>
      <vt:lpstr>'77008-St-Nicolas'!imphasch</vt:lpstr>
      <vt:lpstr>'77010-Ste-Foy'!imphasch</vt:lpstr>
      <vt:lpstr>'77032-Donnacona'!imphasch</vt:lpstr>
      <vt:lpstr>'77036-La Malbaie'!imphasch</vt:lpstr>
      <vt:lpstr>'77037-St-George'!imphasch</vt:lpstr>
      <vt:lpstr>'77041-RDL'!imphasch</vt:lpstr>
      <vt:lpstr>'77044-Les Saules'!imphasch</vt:lpstr>
      <vt:lpstr>'77052-Beauport'!imphasch</vt:lpstr>
      <vt:lpstr>'77053-Thetford'!imphasch</vt:lpstr>
      <vt:lpstr>'77056-Ste-Anne'!imphasch</vt:lpstr>
      <vt:lpstr>'77074-Vieux-Québec'!imphasch</vt:lpstr>
      <vt:lpstr>'77083-Neuchâtel'!imphasch</vt:lpstr>
      <vt:lpstr>'77090-Quatres-Bourgeois'!imphasch</vt:lpstr>
      <vt:lpstr>'77096-Aylmer'!imphasch</vt:lpstr>
      <vt:lpstr>imphasch</vt:lpstr>
      <vt:lpstr>'77005-Bouvier'!indica10_15g</vt:lpstr>
      <vt:lpstr>'77007-Val-Bélair'!indica10_15g</vt:lpstr>
      <vt:lpstr>'77008-St-Nicolas'!indica10_15g</vt:lpstr>
      <vt:lpstr>'77010-Ste-Foy'!indica10_15g</vt:lpstr>
      <vt:lpstr>'77032-Donnacona'!indica10_15g</vt:lpstr>
      <vt:lpstr>'77036-La Malbaie'!indica10_15g</vt:lpstr>
      <vt:lpstr>'77037-St-George'!indica10_15g</vt:lpstr>
      <vt:lpstr>'77041-RDL'!indica10_15g</vt:lpstr>
      <vt:lpstr>'77044-Les Saules'!indica10_15g</vt:lpstr>
      <vt:lpstr>'77052-Beauport'!indica10_15g</vt:lpstr>
      <vt:lpstr>'77053-Thetford'!indica10_15g</vt:lpstr>
      <vt:lpstr>'77056-Ste-Anne'!indica10_15g</vt:lpstr>
      <vt:lpstr>'77074-Vieux-Québec'!indica10_15g</vt:lpstr>
      <vt:lpstr>'77083-Neuchâtel'!indica10_15g</vt:lpstr>
      <vt:lpstr>'77090-Quatres-Bourgeois'!indica10_15g</vt:lpstr>
      <vt:lpstr>'77096-Aylmer'!indica10_15g</vt:lpstr>
      <vt:lpstr>indica10_15g</vt:lpstr>
      <vt:lpstr>'77005-Bouvier'!sativa10_15g</vt:lpstr>
      <vt:lpstr>'77007-Val-Bélair'!sativa10_15g</vt:lpstr>
      <vt:lpstr>'77008-St-Nicolas'!sativa10_15g</vt:lpstr>
      <vt:lpstr>'77010-Ste-Foy'!sativa10_15g</vt:lpstr>
      <vt:lpstr>'77032-Donnacona'!sativa10_15g</vt:lpstr>
      <vt:lpstr>'77036-La Malbaie'!sativa10_15g</vt:lpstr>
      <vt:lpstr>'77037-St-George'!sativa10_15g</vt:lpstr>
      <vt:lpstr>'77041-RDL'!sativa10_15g</vt:lpstr>
      <vt:lpstr>'77044-Les Saules'!sativa10_15g</vt:lpstr>
      <vt:lpstr>'77052-Beauport'!sativa10_15g</vt:lpstr>
      <vt:lpstr>'77053-Thetford'!sativa10_15g</vt:lpstr>
      <vt:lpstr>'77056-Ste-Anne'!sativa10_15g</vt:lpstr>
      <vt:lpstr>'77074-Vieux-Québec'!sativa10_15g</vt:lpstr>
      <vt:lpstr>'77083-Neuchâtel'!sativa10_15g</vt:lpstr>
      <vt:lpstr>'77090-Quatres-Bourgeois'!sativa10_15g</vt:lpstr>
      <vt:lpstr>'77096-Aylmer'!sativa10_15g</vt:lpstr>
      <vt:lpstr>sativa10_15g</vt:lpstr>
      <vt:lpstr>'77004-Lévis'!Zone_d_impression</vt:lpstr>
      <vt:lpstr>'77005-Bouvier'!Zone_d_impression</vt:lpstr>
      <vt:lpstr>'77007-Val-Bélair'!Zone_d_impression</vt:lpstr>
      <vt:lpstr>'77008-St-Nicolas'!Zone_d_impression</vt:lpstr>
      <vt:lpstr>'77010-Ste-Foy'!Zone_d_impression</vt:lpstr>
      <vt:lpstr>'77032-Donnacona'!Zone_d_impression</vt:lpstr>
      <vt:lpstr>'77036-La Malbaie'!Zone_d_impression</vt:lpstr>
      <vt:lpstr>'77037-St-George'!Zone_d_impression</vt:lpstr>
      <vt:lpstr>'77041-RDL'!Zone_d_impression</vt:lpstr>
      <vt:lpstr>'77044-Les Saules'!Zone_d_impression</vt:lpstr>
      <vt:lpstr>'77052-Beauport'!Zone_d_impression</vt:lpstr>
      <vt:lpstr>'77053-Thetford'!Zone_d_impression</vt:lpstr>
      <vt:lpstr>'77056-Ste-Anne'!Zone_d_impression</vt:lpstr>
      <vt:lpstr>'77074-Vieux-Québec'!Zone_d_impression</vt:lpstr>
      <vt:lpstr>'77083-Neuchâtel'!Zone_d_impression</vt:lpstr>
      <vt:lpstr>'77090-Quatres-Bourgeois'!Zone_d_impression</vt:lpstr>
      <vt:lpstr>'77096-Aylmer'!Zone_d_impression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Derome, Frédéric</dc:creator>
  <cp:keywords/>
  <dc:description/>
  <cp:lastModifiedBy>Cloutier, Shanie</cp:lastModifiedBy>
  <cp:revision/>
  <cp:lastPrinted>2024-08-29T16:01:17Z</cp:lastPrinted>
  <dcterms:created xsi:type="dcterms:W3CDTF">2022-03-28T19:57:09Z</dcterms:created>
  <dcterms:modified xsi:type="dcterms:W3CDTF">2024-08-29T16:01:26Z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0x010100E0E20BA53BB41F47AB1159B011DF89BA</vt:lpwstr>
  </property>
  <property fmtid="{D5CDD505-2E9C-101B-9397-08002B2CF9AE}" pid="3" name="MediaServiceImageTags">
    <vt:lpwstr/>
  </property>
</Properties>
</file>