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qdc.sharepoint.com/sites/outils/Documents partages/General/"/>
    </mc:Choice>
  </mc:AlternateContent>
  <xr:revisionPtr revIDLastSave="2456" documentId="13_ncr:1_{50B47130-B826-4246-B3C1-CC4F79A28E28}" xr6:coauthVersionLast="47" xr6:coauthVersionMax="47" xr10:uidLastSave="{5CFEEF89-1E43-4650-86E7-A896A615AAE9}"/>
  <bookViews>
    <workbookView xWindow="0" yWindow="600" windowWidth="27930" windowHeight="14595" firstSheet="1" activeTab="3" xr2:uid="{00446008-5659-4D44-BBCF-A8215C5EA648}"/>
  </bookViews>
  <sheets>
    <sheet name="Dérivés (ingestion) (O)" sheetId="3" state="hidden" r:id="rId1"/>
    <sheet name="Comment ça marche" sheetId="9" r:id="rId2"/>
    <sheet name="Feuil1" sheetId="10" state="hidden" r:id="rId3"/>
    <sheet name=" Formats - Kiefs - Joints" sheetId="2" r:id="rId4"/>
    <sheet name="Hasch" sheetId="8" r:id="rId5"/>
    <sheet name="Base données formats" sheetId="7" state="hidden" r:id="rId6"/>
    <sheet name="Base Dérivés" sheetId="5" state="hidden" r:id="rId7"/>
    <sheet name="Base Hash Kiefs" sheetId="4" state="hidden" r:id="rId8"/>
  </sheets>
  <externalReferences>
    <externalReference r:id="rId9"/>
  </externalReferences>
  <definedNames>
    <definedName name="_xlnm._FilterDatabase" localSheetId="3" hidden="1">' Formats - Kiefs - Joints'!$B$46:$G$57</definedName>
    <definedName name="_xlnm._FilterDatabase" localSheetId="5" hidden="1">'Base données formats'!$B$208:$K$227</definedName>
    <definedName name="_xlnm._FilterDatabase" localSheetId="0" hidden="1">'Dérivés (ingestion) (O)'!#REF!</definedName>
    <definedName name="atomiseurhybride1">#REF!</definedName>
    <definedName name="atomiseurindica1">#REF!</definedName>
    <definedName name="atomiseursativa1">#REF!</definedName>
    <definedName name="Base15g">'Base données formats'!$B$131:$K$205</definedName>
    <definedName name="Base1g">'Base données formats'!$B$208:$K$227</definedName>
    <definedName name="base28g">'Base données formats'!$B$2:$K$127</definedName>
    <definedName name="Basehash">donnée_haschich[#All]</definedName>
    <definedName name="Boissons">Tableau9[#All]</definedName>
    <definedName name="fleurs1g">Fleurs_1g[#All]</definedName>
    <definedName name="formatrecto">' Formats - Kiefs - Joints'!$A$3:$G$86</definedName>
    <definedName name="formatverso">' Formats - Kiefs - Joints'!$A$88:$G$117</definedName>
    <definedName name="Hasch">' Formats - Kiefs - Joints'!$A$93:$G$110</definedName>
    <definedName name="hasch_verso">Hasch!$A$3:$I$42</definedName>
    <definedName name="haschich">' Formats - Kiefs - Joints'!$B$93:$G$110</definedName>
    <definedName name="huilehybride1">#REF!</definedName>
    <definedName name="huileindica1">#REF!</definedName>
    <definedName name="huilesativa1">#REF!</definedName>
    <definedName name="hybride1">#REF!</definedName>
    <definedName name="hybride10_15g">' Formats - Kiefs - Joints'!$B$33:$G$43</definedName>
    <definedName name="hybride28g">' Formats - Kiefs - Joints'!$B$70:$G$86</definedName>
    <definedName name="hybridepre">#REF!</definedName>
    <definedName name="HYBRIDEPRE3">#REF!</definedName>
    <definedName name="impgrosformat">' Formats - Kiefs - Joints'!$A$3:$G$86</definedName>
    <definedName name="imphasch">' Formats - Kiefs - Joints'!$A$88:$G$124</definedName>
    <definedName name="Indica">[1]!Préroulés_Indica[#All]</definedName>
    <definedName name="indica1" localSheetId="3">#REF!</definedName>
    <definedName name="indica1" localSheetId="0">#REF!</definedName>
    <definedName name="indica1">#REF!</definedName>
    <definedName name="indica10_15g">Tableau21[#All]</definedName>
    <definedName name="indica2">#REF!</definedName>
    <definedName name="indica28g">' Formats - Kiefs - Joints'!$B$46:$G$57</definedName>
    <definedName name="indicapre">#REF!</definedName>
    <definedName name="INDICAPRE3">#REF!</definedName>
    <definedName name="jointsinfusés">Tableau1092427[#All]</definedName>
    <definedName name="pilulehybride1">#REF!</definedName>
    <definedName name="piluleindica1">#REF!</definedName>
    <definedName name="pilulesativa1">#REF!</definedName>
    <definedName name="Sativa">[1]!Préroulés_Sativa[#All]</definedName>
    <definedName name="sativa1" localSheetId="3">#REF!</definedName>
    <definedName name="sativa1" localSheetId="0">#REF!</definedName>
    <definedName name="sativa1">#REF!</definedName>
    <definedName name="sativa10_15g">Tableau22[#All]</definedName>
    <definedName name="sativa28g">' Formats - Kiefs - Joints'!$B$59:$G$68</definedName>
    <definedName name="sativapre">#REF!</definedName>
    <definedName name="SATIVAPRE3">#REF!</definedName>
    <definedName name="verso">Hasch!$A$3:$I$41</definedName>
    <definedName name="_xlnm.Print_Area" localSheetId="3">' Formats - Kiefs - Joints'!$A$3:$G$102</definedName>
    <definedName name="_xlnm.Print_Area" localSheetId="4">Hasch!$A$3:$I$65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" l="1"/>
  <c r="D34" i="2"/>
  <c r="C34" i="2"/>
  <c r="A99" i="2"/>
  <c r="C99" i="2"/>
  <c r="D99" i="2"/>
  <c r="G99" i="2"/>
  <c r="C62" i="2"/>
  <c r="D62" i="2"/>
  <c r="G62" i="2"/>
  <c r="D96" i="2"/>
  <c r="C96" i="2"/>
  <c r="A96" i="2"/>
  <c r="D97" i="2"/>
  <c r="C97" i="2"/>
  <c r="A97" i="2"/>
  <c r="D100" i="2"/>
  <c r="C100" i="2"/>
  <c r="A100" i="2"/>
  <c r="D102" i="2"/>
  <c r="C102" i="2"/>
  <c r="A102" i="2"/>
  <c r="I36" i="8"/>
  <c r="H36" i="8"/>
  <c r="G36" i="8"/>
  <c r="D36" i="8"/>
  <c r="C36" i="8"/>
  <c r="A36" i="8"/>
  <c r="C56" i="2"/>
  <c r="D56" i="2"/>
  <c r="G56" i="2"/>
  <c r="G52" i="2"/>
  <c r="D52" i="2"/>
  <c r="C52" i="2"/>
  <c r="C65" i="2"/>
  <c r="D65" i="2"/>
  <c r="G65" i="2"/>
  <c r="A60" i="8"/>
  <c r="C60" i="8"/>
  <c r="D60" i="8"/>
  <c r="H60" i="8"/>
  <c r="C6" i="2"/>
  <c r="D6" i="2"/>
  <c r="G6" i="2"/>
  <c r="C23" i="2"/>
  <c r="D23" i="2"/>
  <c r="G23" i="2"/>
  <c r="G73" i="2"/>
  <c r="D73" i="2"/>
  <c r="C73" i="2"/>
  <c r="A92" i="2"/>
  <c r="C92" i="2"/>
  <c r="D92" i="2"/>
  <c r="G92" i="2"/>
  <c r="G53" i="2"/>
  <c r="D53" i="2"/>
  <c r="C53" i="2"/>
  <c r="G72" i="2"/>
  <c r="D72" i="2"/>
  <c r="C72" i="2"/>
  <c r="C24" i="2"/>
  <c r="D24" i="2"/>
  <c r="G24" i="2"/>
  <c r="A52" i="8"/>
  <c r="C52" i="8"/>
  <c r="D52" i="8"/>
  <c r="H52" i="8"/>
  <c r="A57" i="8"/>
  <c r="C57" i="8"/>
  <c r="D57" i="8"/>
  <c r="H57" i="8"/>
  <c r="A58" i="8"/>
  <c r="C58" i="8"/>
  <c r="D58" i="8"/>
  <c r="H58" i="8"/>
  <c r="A64" i="8"/>
  <c r="C64" i="8"/>
  <c r="D64" i="8"/>
  <c r="H64" i="8"/>
  <c r="A53" i="8"/>
  <c r="C53" i="8"/>
  <c r="D53" i="8"/>
  <c r="H53" i="8"/>
  <c r="C71" i="2"/>
  <c r="D71" i="2"/>
  <c r="G71" i="2"/>
  <c r="C37" i="2"/>
  <c r="D37" i="2"/>
  <c r="G37" i="2"/>
  <c r="A24" i="8"/>
  <c r="C24" i="8"/>
  <c r="D24" i="8"/>
  <c r="G24" i="8"/>
  <c r="H24" i="8"/>
  <c r="I24" i="8"/>
  <c r="G29" i="2"/>
  <c r="D29" i="2"/>
  <c r="C29" i="2"/>
  <c r="A136" i="7"/>
  <c r="H54" i="8"/>
  <c r="D54" i="8"/>
  <c r="C54" i="8"/>
  <c r="A54" i="8"/>
  <c r="A34" i="8"/>
  <c r="C34" i="8"/>
  <c r="D34" i="8"/>
  <c r="G34" i="8"/>
  <c r="H34" i="8"/>
  <c r="I34" i="8"/>
  <c r="A49" i="8"/>
  <c r="C49" i="8"/>
  <c r="D49" i="8"/>
  <c r="H49" i="8"/>
  <c r="A59" i="8"/>
  <c r="C59" i="8"/>
  <c r="D59" i="8"/>
  <c r="H59" i="8"/>
  <c r="A44" i="8"/>
  <c r="C44" i="8"/>
  <c r="D44" i="8"/>
  <c r="H44" i="8"/>
  <c r="G91" i="2"/>
  <c r="D91" i="2"/>
  <c r="C91" i="2"/>
  <c r="A91" i="2"/>
  <c r="A51" i="8"/>
  <c r="C51" i="8"/>
  <c r="D51" i="8"/>
  <c r="H51" i="8"/>
  <c r="H28" i="8"/>
  <c r="A63" i="8"/>
  <c r="C63" i="8"/>
  <c r="D63" i="8"/>
  <c r="H63" i="8"/>
  <c r="H65" i="8"/>
  <c r="D65" i="8"/>
  <c r="C65" i="8"/>
  <c r="A65" i="8"/>
  <c r="H62" i="8"/>
  <c r="D62" i="8"/>
  <c r="C62" i="8"/>
  <c r="A62" i="8"/>
  <c r="D45" i="8"/>
  <c r="D42" i="8"/>
  <c r="D43" i="8"/>
  <c r="D46" i="8"/>
  <c r="D48" i="8"/>
  <c r="D47" i="8"/>
  <c r="D50" i="8"/>
  <c r="D56" i="8"/>
  <c r="D55" i="8"/>
  <c r="D61" i="8"/>
  <c r="D38" i="8"/>
  <c r="H42" i="8" l="1"/>
  <c r="C42" i="8"/>
  <c r="A42" i="8"/>
  <c r="H43" i="8"/>
  <c r="C43" i="8"/>
  <c r="A43" i="8"/>
  <c r="H46" i="8"/>
  <c r="C46" i="8"/>
  <c r="A46" i="8"/>
  <c r="C48" i="8"/>
  <c r="A48" i="8"/>
  <c r="H47" i="8"/>
  <c r="C47" i="8"/>
  <c r="A47" i="8"/>
  <c r="H50" i="8"/>
  <c r="C50" i="8"/>
  <c r="A50" i="8"/>
  <c r="H56" i="8"/>
  <c r="C56" i="8"/>
  <c r="A56" i="8"/>
  <c r="H55" i="8"/>
  <c r="C55" i="8"/>
  <c r="A55" i="8"/>
  <c r="H61" i="8"/>
  <c r="C61" i="8"/>
  <c r="A61" i="8"/>
  <c r="A45" i="8" l="1"/>
  <c r="H45" i="8"/>
  <c r="C45" i="8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D98" i="2"/>
  <c r="C98" i="2"/>
  <c r="A98" i="2"/>
  <c r="A233" i="7"/>
  <c r="A234" i="7"/>
  <c r="A6" i="4" l="1"/>
  <c r="A203" i="7"/>
  <c r="A94" i="7"/>
  <c r="G90" i="2"/>
  <c r="D90" i="2"/>
  <c r="C90" i="2"/>
  <c r="A90" i="2"/>
  <c r="A101" i="2"/>
  <c r="C101" i="2"/>
  <c r="D101" i="2"/>
  <c r="A55" i="4"/>
  <c r="A20" i="4"/>
  <c r="A26" i="4"/>
  <c r="A29" i="4"/>
  <c r="A52" i="4"/>
  <c r="A57" i="4"/>
  <c r="A22" i="4"/>
  <c r="A70" i="4"/>
  <c r="A28" i="4"/>
  <c r="A8" i="4"/>
  <c r="A54" i="4"/>
  <c r="A232" i="7"/>
  <c r="A235" i="7"/>
  <c r="A236" i="7"/>
  <c r="A237" i="7"/>
  <c r="A218" i="7"/>
  <c r="A210" i="7"/>
  <c r="A216" i="7"/>
  <c r="A219" i="7"/>
  <c r="A217" i="7"/>
  <c r="H31" i="8" l="1"/>
  <c r="G31" i="8"/>
  <c r="D31" i="8"/>
  <c r="I31" i="8"/>
  <c r="C31" i="8"/>
  <c r="A31" i="8"/>
  <c r="D14" i="2"/>
  <c r="G13" i="2"/>
  <c r="D13" i="2"/>
  <c r="C14" i="2"/>
  <c r="C13" i="2"/>
  <c r="G14" i="2"/>
  <c r="D16" i="2"/>
  <c r="C16" i="2"/>
  <c r="G16" i="2"/>
  <c r="A103" i="7"/>
  <c r="A102" i="7"/>
  <c r="A107" i="7"/>
  <c r="A121" i="7"/>
  <c r="A91" i="7"/>
  <c r="A115" i="7"/>
  <c r="A127" i="7"/>
  <c r="A89" i="7"/>
  <c r="A188" i="7"/>
  <c r="A31" i="7"/>
  <c r="A12" i="7"/>
  <c r="A28" i="7"/>
  <c r="A144" i="7"/>
  <c r="A143" i="7"/>
  <c r="A57" i="7"/>
  <c r="A46" i="7"/>
  <c r="A77" i="7"/>
  <c r="A48" i="7"/>
  <c r="A58" i="7"/>
  <c r="A70" i="7"/>
  <c r="A160" i="7"/>
  <c r="A165" i="7"/>
  <c r="A156" i="7"/>
  <c r="A161" i="7"/>
  <c r="A175" i="7"/>
  <c r="A162" i="7"/>
  <c r="A166" i="7"/>
  <c r="A181" i="7" l="1"/>
  <c r="A180" i="7"/>
  <c r="A170" i="7"/>
  <c r="A69" i="7"/>
  <c r="A90" i="7"/>
  <c r="A117" i="7" l="1"/>
  <c r="A195" i="7" l="1"/>
  <c r="A201" i="7"/>
  <c r="A198" i="7"/>
  <c r="A205" i="7"/>
  <c r="A147" i="7"/>
  <c r="A213" i="7"/>
  <c r="A88" i="7"/>
  <c r="A95" i="7"/>
  <c r="A105" i="7"/>
  <c r="A113" i="7"/>
  <c r="A120" i="7"/>
  <c r="A118" i="7"/>
  <c r="A16" i="7"/>
  <c r="A19" i="7"/>
  <c r="A30" i="7"/>
  <c r="A112" i="7" l="1"/>
  <c r="A29" i="7"/>
  <c r="A13" i="7"/>
  <c r="A86" i="7"/>
  <c r="A34" i="7"/>
  <c r="A3" i="7"/>
  <c r="A99" i="7"/>
  <c r="A39" i="7"/>
  <c r="A47" i="7" l="1"/>
  <c r="A73" i="7"/>
  <c r="A224" i="7"/>
  <c r="A226" i="7"/>
  <c r="A167" i="7"/>
  <c r="A173" i="7"/>
  <c r="A155" i="7"/>
  <c r="A27" i="4" l="1"/>
  <c r="A21" i="4"/>
  <c r="A63" i="4"/>
  <c r="A40" i="4"/>
  <c r="A50" i="4"/>
  <c r="A9" i="4"/>
  <c r="A19" i="4"/>
  <c r="A90" i="4"/>
  <c r="A91" i="4"/>
  <c r="A78" i="4"/>
  <c r="A71" i="4"/>
  <c r="A89" i="4"/>
  <c r="G157" i="4" l="1"/>
  <c r="A96" i="7" l="1"/>
  <c r="A92" i="7"/>
  <c r="A106" i="7"/>
  <c r="A123" i="7"/>
  <c r="A194" i="7"/>
  <c r="A192" i="7"/>
  <c r="A185" i="7"/>
  <c r="A202" i="7"/>
  <c r="A193" i="7"/>
  <c r="A204" i="7"/>
  <c r="A55" i="7"/>
  <c r="A56" i="7"/>
  <c r="A59" i="7"/>
  <c r="A60" i="7"/>
  <c r="A35" i="7"/>
  <c r="A10" i="7"/>
  <c r="A17" i="7"/>
  <c r="A212" i="7"/>
  <c r="A88" i="4"/>
  <c r="A36" i="4"/>
  <c r="A41" i="4"/>
  <c r="A34" i="4"/>
  <c r="A72" i="4"/>
  <c r="A104" i="7" l="1"/>
  <c r="A108" i="7" l="1"/>
  <c r="A80" i="4" l="1"/>
  <c r="A68" i="7"/>
  <c r="A133" i="7"/>
  <c r="A145" i="7"/>
  <c r="A27" i="7"/>
  <c r="G28" i="2" l="1"/>
  <c r="D28" i="2"/>
  <c r="C28" i="2"/>
  <c r="A158" i="7"/>
  <c r="A51" i="7"/>
  <c r="A33" i="4"/>
  <c r="A47" i="4"/>
  <c r="A76" i="4" l="1"/>
  <c r="A190" i="7"/>
  <c r="A32" i="7"/>
  <c r="A199" i="7" l="1"/>
  <c r="A45" i="7" l="1"/>
  <c r="A52" i="7"/>
  <c r="A65" i="7"/>
  <c r="A72" i="7"/>
  <c r="A80" i="7"/>
  <c r="A98" i="7"/>
  <c r="A93" i="7"/>
  <c r="A101" i="7"/>
  <c r="A109" i="7"/>
  <c r="A116" i="7"/>
  <c r="A124" i="7"/>
  <c r="A126" i="7"/>
  <c r="A164" i="7"/>
  <c r="A187" i="7"/>
  <c r="A189" i="7"/>
  <c r="A197" i="7"/>
  <c r="A227" i="7"/>
  <c r="A220" i="7"/>
  <c r="A221" i="7"/>
  <c r="A222" i="7"/>
  <c r="A223" i="7"/>
  <c r="A37" i="4"/>
  <c r="A14" i="4"/>
  <c r="A32" i="4"/>
  <c r="A42" i="4"/>
  <c r="A79" i="4"/>
  <c r="A12" i="4"/>
  <c r="A69" i="4"/>
  <c r="A24" i="4"/>
  <c r="A53" i="4"/>
  <c r="A74" i="4"/>
  <c r="A24" i="7" l="1"/>
  <c r="A81" i="4" l="1"/>
  <c r="A92" i="4"/>
  <c r="A97" i="7"/>
  <c r="A122" i="7"/>
  <c r="A79" i="7"/>
  <c r="A11" i="7"/>
  <c r="A141" i="7" l="1"/>
  <c r="A7" i="4" l="1"/>
  <c r="A10" i="4"/>
  <c r="A11" i="4"/>
  <c r="A13" i="4"/>
  <c r="A15" i="4"/>
  <c r="A16" i="4"/>
  <c r="A17" i="4"/>
  <c r="A18" i="4"/>
  <c r="A23" i="4"/>
  <c r="A25" i="4"/>
  <c r="A30" i="4"/>
  <c r="A31" i="4"/>
  <c r="A35" i="4"/>
  <c r="A38" i="4"/>
  <c r="A39" i="4"/>
  <c r="A43" i="4"/>
  <c r="A44" i="4"/>
  <c r="A45" i="4"/>
  <c r="A46" i="4"/>
  <c r="A48" i="4"/>
  <c r="A49" i="4"/>
  <c r="A51" i="4"/>
  <c r="A58" i="4"/>
  <c r="A56" i="4"/>
  <c r="A59" i="4"/>
  <c r="A60" i="4"/>
  <c r="A61" i="4"/>
  <c r="A62" i="4"/>
  <c r="A64" i="4"/>
  <c r="A66" i="4"/>
  <c r="A65" i="4"/>
  <c r="A67" i="4"/>
  <c r="A68" i="4"/>
  <c r="A73" i="4"/>
  <c r="A75" i="4"/>
  <c r="A77" i="4"/>
  <c r="A82" i="4"/>
  <c r="A83" i="4"/>
  <c r="A84" i="4"/>
  <c r="A85" i="4"/>
  <c r="A86" i="4"/>
  <c r="A87" i="4"/>
  <c r="H26" i="8" l="1"/>
  <c r="H32" i="8"/>
  <c r="H20" i="8"/>
  <c r="H9" i="8"/>
  <c r="H18" i="8"/>
  <c r="A9" i="8"/>
  <c r="I32" i="8"/>
  <c r="I10" i="8"/>
  <c r="G33" i="8"/>
  <c r="G38" i="8"/>
  <c r="G23" i="8"/>
  <c r="G6" i="8"/>
  <c r="G10" i="8"/>
  <c r="A29" i="8"/>
  <c r="I35" i="8"/>
  <c r="I12" i="8"/>
  <c r="D37" i="8"/>
  <c r="D27" i="8"/>
  <c r="D7" i="8"/>
  <c r="D15" i="8"/>
  <c r="D25" i="8"/>
  <c r="A13" i="8"/>
  <c r="I20" i="8"/>
  <c r="C26" i="8"/>
  <c r="C32" i="8"/>
  <c r="C20" i="8"/>
  <c r="C28" i="8"/>
  <c r="C9" i="8"/>
  <c r="C18" i="8"/>
  <c r="A26" i="8"/>
  <c r="A28" i="8"/>
  <c r="I22" i="8"/>
  <c r="I28" i="8"/>
  <c r="H27" i="8"/>
  <c r="G16" i="8"/>
  <c r="I11" i="8"/>
  <c r="D8" i="8"/>
  <c r="I38" i="8"/>
  <c r="C25" i="8"/>
  <c r="H35" i="8"/>
  <c r="H21" i="8"/>
  <c r="H29" i="8"/>
  <c r="H13" i="8"/>
  <c r="H14" i="8"/>
  <c r="A33" i="8"/>
  <c r="A10" i="8"/>
  <c r="I19" i="8"/>
  <c r="I18" i="8"/>
  <c r="G19" i="8"/>
  <c r="G8" i="8"/>
  <c r="G11" i="8"/>
  <c r="G17" i="8"/>
  <c r="A7" i="8"/>
  <c r="D26" i="8"/>
  <c r="D32" i="8"/>
  <c r="D20" i="8"/>
  <c r="D28" i="8"/>
  <c r="D9" i="8"/>
  <c r="D18" i="8"/>
  <c r="A37" i="8"/>
  <c r="A15" i="8"/>
  <c r="I27" i="8"/>
  <c r="C35" i="8"/>
  <c r="C21" i="8"/>
  <c r="C29" i="8"/>
  <c r="C13" i="8"/>
  <c r="C14" i="8"/>
  <c r="A8" i="8"/>
  <c r="H15" i="8"/>
  <c r="G22" i="8"/>
  <c r="G12" i="8"/>
  <c r="D19" i="8"/>
  <c r="A6" i="8"/>
  <c r="C27" i="8"/>
  <c r="A22" i="8"/>
  <c r="H22" i="8"/>
  <c r="H30" i="8"/>
  <c r="H16" i="8"/>
  <c r="H12" i="8"/>
  <c r="A14" i="8"/>
  <c r="I21" i="8"/>
  <c r="I17" i="8"/>
  <c r="G37" i="8"/>
  <c r="G27" i="8"/>
  <c r="G7" i="8"/>
  <c r="G15" i="8"/>
  <c r="G25" i="8"/>
  <c r="A11" i="8"/>
  <c r="I23" i="8"/>
  <c r="D35" i="8"/>
  <c r="D21" i="8"/>
  <c r="D29" i="8"/>
  <c r="D13" i="8"/>
  <c r="D14" i="8"/>
  <c r="A38" i="8"/>
  <c r="I6" i="8"/>
  <c r="C22" i="8"/>
  <c r="C30" i="8"/>
  <c r="C16" i="8"/>
  <c r="C12" i="8"/>
  <c r="A16" i="8"/>
  <c r="I8" i="8"/>
  <c r="I14" i="8"/>
  <c r="A30" i="8"/>
  <c r="I9" i="8"/>
  <c r="G30" i="8"/>
  <c r="I33" i="8"/>
  <c r="D17" i="8"/>
  <c r="C37" i="8"/>
  <c r="C15" i="8"/>
  <c r="H33" i="8"/>
  <c r="H38" i="8"/>
  <c r="H23" i="8"/>
  <c r="H6" i="8"/>
  <c r="H10" i="8"/>
  <c r="A20" i="8"/>
  <c r="A25" i="8"/>
  <c r="G26" i="8"/>
  <c r="G32" i="8"/>
  <c r="G20" i="8"/>
  <c r="G28" i="8"/>
  <c r="G9" i="8"/>
  <c r="G18" i="8"/>
  <c r="A32" i="8"/>
  <c r="A12" i="8"/>
  <c r="I29" i="8"/>
  <c r="D22" i="8"/>
  <c r="D30" i="8"/>
  <c r="D16" i="8"/>
  <c r="D12" i="8"/>
  <c r="A21" i="8"/>
  <c r="I13" i="8"/>
  <c r="C33" i="8"/>
  <c r="C38" i="8"/>
  <c r="C23" i="8"/>
  <c r="C6" i="8"/>
  <c r="C10" i="8"/>
  <c r="A35" i="8"/>
  <c r="A18" i="8"/>
  <c r="I16" i="8"/>
  <c r="H19" i="8"/>
  <c r="H8" i="8"/>
  <c r="H11" i="8"/>
  <c r="H17" i="8"/>
  <c r="I26" i="8"/>
  <c r="I30" i="8"/>
  <c r="G35" i="8"/>
  <c r="G21" i="8"/>
  <c r="G29" i="8"/>
  <c r="G13" i="8"/>
  <c r="G14" i="8"/>
  <c r="A19" i="8"/>
  <c r="I7" i="8"/>
  <c r="D33" i="8"/>
  <c r="D23" i="8"/>
  <c r="D6" i="8"/>
  <c r="D10" i="8"/>
  <c r="A27" i="8"/>
  <c r="I37" i="8"/>
  <c r="I15" i="8"/>
  <c r="C19" i="8"/>
  <c r="C8" i="8"/>
  <c r="C11" i="8"/>
  <c r="C17" i="8"/>
  <c r="A17" i="8"/>
  <c r="H37" i="8"/>
  <c r="H7" i="8"/>
  <c r="H25" i="8"/>
  <c r="A23" i="8"/>
  <c r="D11" i="8"/>
  <c r="C7" i="8"/>
  <c r="I25" i="8"/>
  <c r="C5" i="8"/>
  <c r="I5" i="8"/>
  <c r="A5" i="8"/>
  <c r="D5" i="8"/>
  <c r="G5" i="8"/>
  <c r="H5" i="8"/>
  <c r="A5" i="7"/>
  <c r="A6" i="7"/>
  <c r="A7" i="7"/>
  <c r="A8" i="7"/>
  <c r="A9" i="7"/>
  <c r="A14" i="7"/>
  <c r="A15" i="7"/>
  <c r="A18" i="7"/>
  <c r="A20" i="7"/>
  <c r="A21" i="7"/>
  <c r="A22" i="7"/>
  <c r="A23" i="7"/>
  <c r="A25" i="7"/>
  <c r="A26" i="7"/>
  <c r="A33" i="7"/>
  <c r="A37" i="7"/>
  <c r="A36" i="7"/>
  <c r="A38" i="7"/>
  <c r="D63" i="2" l="1"/>
  <c r="C68" i="2"/>
  <c r="G63" i="2"/>
  <c r="G68" i="2"/>
  <c r="C63" i="2"/>
  <c r="D64" i="2"/>
  <c r="D68" i="2"/>
  <c r="C64" i="2"/>
  <c r="G64" i="2"/>
  <c r="G61" i="2"/>
  <c r="D61" i="2"/>
  <c r="C61" i="2"/>
  <c r="G66" i="2"/>
  <c r="D66" i="2"/>
  <c r="C66" i="2"/>
  <c r="G60" i="2"/>
  <c r="D60" i="2"/>
  <c r="C60" i="2"/>
  <c r="G67" i="2"/>
  <c r="C67" i="2"/>
  <c r="D67" i="2"/>
  <c r="A84" i="7" l="1"/>
  <c r="A87" i="7"/>
  <c r="A100" i="7"/>
  <c r="A110" i="7"/>
  <c r="A111" i="7"/>
  <c r="A114" i="7"/>
  <c r="A119" i="7"/>
  <c r="A125" i="7"/>
  <c r="D82" i="2" l="1"/>
  <c r="G82" i="2"/>
  <c r="C74" i="2"/>
  <c r="D74" i="2"/>
  <c r="C82" i="2"/>
  <c r="G74" i="2"/>
  <c r="C75" i="2"/>
  <c r="G75" i="2"/>
  <c r="G84" i="2"/>
  <c r="D84" i="2"/>
  <c r="C79" i="2"/>
  <c r="C84" i="2"/>
  <c r="G79" i="2"/>
  <c r="D75" i="2"/>
  <c r="D79" i="2"/>
  <c r="G77" i="2"/>
  <c r="D77" i="2"/>
  <c r="C77" i="2"/>
  <c r="G78" i="2"/>
  <c r="D78" i="2"/>
  <c r="C78" i="2"/>
  <c r="C83" i="2"/>
  <c r="G81" i="2"/>
  <c r="D81" i="2"/>
  <c r="C81" i="2"/>
  <c r="G83" i="2"/>
  <c r="D83" i="2"/>
  <c r="G85" i="2"/>
  <c r="D85" i="2"/>
  <c r="C85" i="2"/>
  <c r="G80" i="2"/>
  <c r="D80" i="2"/>
  <c r="C80" i="2"/>
  <c r="G86" i="2"/>
  <c r="C86" i="2"/>
  <c r="D86" i="2"/>
  <c r="D76" i="2"/>
  <c r="C76" i="2"/>
  <c r="G76" i="2"/>
  <c r="A134" i="7"/>
  <c r="A135" i="7"/>
  <c r="A137" i="7"/>
  <c r="A138" i="7"/>
  <c r="A139" i="7"/>
  <c r="A140" i="7"/>
  <c r="A142" i="7"/>
  <c r="A146" i="7"/>
  <c r="A148" i="7"/>
  <c r="A149" i="7"/>
  <c r="A150" i="7"/>
  <c r="A211" i="7"/>
  <c r="A214" i="7"/>
  <c r="A215" i="7"/>
  <c r="A225" i="7"/>
  <c r="C30" i="2" l="1"/>
  <c r="D30" i="2"/>
  <c r="G30" i="2"/>
  <c r="G7" i="2"/>
  <c r="D7" i="2"/>
  <c r="C7" i="2"/>
  <c r="C8" i="2"/>
  <c r="C9" i="2"/>
  <c r="C10" i="2"/>
  <c r="C5" i="2"/>
  <c r="G31" i="2"/>
  <c r="C31" i="2"/>
  <c r="D31" i="2"/>
  <c r="D9" i="2"/>
  <c r="G9" i="2"/>
  <c r="G5" i="2"/>
  <c r="D5" i="2"/>
  <c r="G8" i="2"/>
  <c r="D8" i="2"/>
  <c r="D10" i="2"/>
  <c r="C27" i="2"/>
  <c r="D27" i="2"/>
  <c r="G27" i="2"/>
  <c r="G10" i="2"/>
  <c r="A182" i="7"/>
  <c r="A183" i="7"/>
  <c r="A184" i="7"/>
  <c r="A186" i="7"/>
  <c r="A191" i="7"/>
  <c r="A196" i="7"/>
  <c r="A200" i="7"/>
  <c r="A157" i="7"/>
  <c r="A159" i="7"/>
  <c r="A163" i="7"/>
  <c r="A168" i="7"/>
  <c r="A169" i="7"/>
  <c r="A171" i="7"/>
  <c r="A172" i="7"/>
  <c r="A174" i="7"/>
  <c r="C42" i="2" l="1"/>
  <c r="G42" i="2"/>
  <c r="G40" i="2"/>
  <c r="C38" i="2"/>
  <c r="G38" i="2"/>
  <c r="D40" i="2"/>
  <c r="D42" i="2"/>
  <c r="D38" i="2"/>
  <c r="C40" i="2"/>
  <c r="C22" i="2"/>
  <c r="D22" i="2"/>
  <c r="G22" i="2"/>
  <c r="C36" i="2"/>
  <c r="G36" i="2"/>
  <c r="D36" i="2"/>
  <c r="D41" i="2"/>
  <c r="C41" i="2"/>
  <c r="G41" i="2"/>
  <c r="C39" i="2"/>
  <c r="D39" i="2"/>
  <c r="G39" i="2"/>
  <c r="G35" i="2"/>
  <c r="C35" i="2"/>
  <c r="D35" i="2"/>
  <c r="C43" i="2"/>
  <c r="D43" i="2"/>
  <c r="G43" i="2"/>
  <c r="A78" i="7"/>
  <c r="A49" i="7"/>
  <c r="A50" i="7"/>
  <c r="A53" i="7"/>
  <c r="A54" i="7"/>
  <c r="A61" i="7"/>
  <c r="A62" i="7"/>
  <c r="A63" i="7"/>
  <c r="A64" i="7"/>
  <c r="A66" i="7"/>
  <c r="A67" i="7"/>
  <c r="A71" i="7"/>
  <c r="A74" i="7"/>
  <c r="A75" i="7"/>
  <c r="A76" i="7"/>
  <c r="A44" i="7"/>
  <c r="G51" i="2" l="1"/>
  <c r="D51" i="2"/>
  <c r="C51" i="2"/>
  <c r="D48" i="2"/>
  <c r="D47" i="2"/>
  <c r="G54" i="2"/>
  <c r="D54" i="2"/>
  <c r="C54" i="2"/>
  <c r="G48" i="2"/>
  <c r="G47" i="2"/>
  <c r="C48" i="2"/>
  <c r="C47" i="2"/>
  <c r="D49" i="2"/>
  <c r="C49" i="2"/>
  <c r="G49" i="2"/>
  <c r="C55" i="2"/>
  <c r="D55" i="2"/>
  <c r="G55" i="2"/>
  <c r="D50" i="2"/>
  <c r="C50" i="2"/>
  <c r="G50" i="2"/>
  <c r="G57" i="2"/>
  <c r="D57" i="2"/>
  <c r="C57" i="2"/>
  <c r="N5" i="3" l="1"/>
  <c r="D48" i="3"/>
  <c r="E48" i="3"/>
  <c r="D49" i="3"/>
  <c r="E49" i="3"/>
  <c r="D50" i="3"/>
  <c r="E50" i="3"/>
  <c r="D51" i="3"/>
  <c r="E51" i="3"/>
  <c r="D54" i="3"/>
  <c r="E54" i="3"/>
  <c r="F54" i="3"/>
  <c r="G54" i="3"/>
  <c r="H54" i="3"/>
  <c r="D55" i="3"/>
  <c r="E55" i="3"/>
  <c r="F55" i="3"/>
  <c r="G55" i="3"/>
  <c r="H55" i="3"/>
  <c r="D56" i="3"/>
  <c r="E56" i="3"/>
  <c r="F56" i="3"/>
  <c r="G56" i="3"/>
  <c r="H56" i="3"/>
  <c r="D57" i="3"/>
  <c r="E57" i="3"/>
  <c r="F57" i="3"/>
  <c r="G57" i="3"/>
  <c r="H57" i="3"/>
  <c r="D58" i="3"/>
  <c r="E58" i="3"/>
  <c r="F58" i="3"/>
  <c r="G58" i="3"/>
  <c r="H58" i="3"/>
  <c r="D59" i="3"/>
  <c r="E59" i="3"/>
  <c r="F59" i="3"/>
  <c r="G59" i="3"/>
  <c r="H59" i="3"/>
  <c r="D60" i="3"/>
  <c r="E60" i="3"/>
  <c r="F60" i="3"/>
  <c r="G60" i="3"/>
  <c r="H60" i="3"/>
  <c r="D61" i="3"/>
  <c r="E61" i="3"/>
  <c r="F61" i="3"/>
  <c r="G61" i="3"/>
  <c r="H61" i="3"/>
  <c r="D62" i="3"/>
  <c r="E62" i="3"/>
  <c r="F62" i="3"/>
  <c r="G62" i="3"/>
  <c r="H62" i="3"/>
  <c r="D63" i="3"/>
  <c r="E63" i="3"/>
  <c r="F63" i="3"/>
  <c r="G63" i="3"/>
  <c r="H63" i="3"/>
  <c r="D64" i="3"/>
  <c r="E64" i="3"/>
  <c r="F64" i="3"/>
  <c r="G64" i="3"/>
  <c r="H64" i="3"/>
  <c r="D79" i="3"/>
  <c r="E79" i="3"/>
  <c r="F79" i="3"/>
  <c r="G79" i="3"/>
  <c r="H79" i="3"/>
  <c r="D80" i="3"/>
  <c r="E80" i="3"/>
  <c r="F80" i="3"/>
  <c r="G80" i="3"/>
  <c r="H80" i="3"/>
  <c r="D81" i="3"/>
  <c r="E81" i="3"/>
  <c r="F81" i="3"/>
  <c r="G81" i="3"/>
  <c r="H81" i="3"/>
  <c r="D82" i="3"/>
  <c r="E82" i="3"/>
  <c r="F82" i="3"/>
  <c r="G82" i="3"/>
  <c r="H82" i="3"/>
  <c r="D83" i="3"/>
  <c r="E83" i="3"/>
  <c r="F83" i="3"/>
  <c r="G83" i="3"/>
  <c r="H83" i="3"/>
  <c r="D84" i="3"/>
  <c r="E84" i="3"/>
  <c r="F84" i="3"/>
  <c r="G84" i="3"/>
  <c r="H84" i="3"/>
  <c r="C87" i="3"/>
  <c r="D87" i="3"/>
  <c r="E87" i="3"/>
  <c r="F87" i="3"/>
  <c r="C88" i="3"/>
  <c r="D88" i="3"/>
  <c r="E88" i="3"/>
  <c r="F88" i="3"/>
  <c r="C89" i="3"/>
  <c r="D89" i="3"/>
  <c r="E89" i="3"/>
  <c r="F89" i="3"/>
  <c r="C90" i="3"/>
  <c r="D90" i="3"/>
  <c r="E90" i="3"/>
  <c r="F90" i="3"/>
  <c r="C91" i="3"/>
  <c r="D91" i="3"/>
  <c r="E91" i="3"/>
  <c r="F91" i="3"/>
  <c r="C92" i="3"/>
  <c r="D92" i="3"/>
  <c r="E92" i="3"/>
  <c r="F92" i="3"/>
  <c r="G58" i="2"/>
  <c r="G69" i="2"/>
</calcChain>
</file>

<file path=xl/sharedStrings.xml><?xml version="1.0" encoding="utf-8"?>
<sst xmlns="http://schemas.openxmlformats.org/spreadsheetml/2006/main" count="5130" uniqueCount="1055">
  <si>
    <t xml:space="preserve"> +AA1:K68</t>
  </si>
  <si>
    <t>HUILES</t>
  </si>
  <si>
    <t>Outil conversion mg/g en mg/ml</t>
  </si>
  <si>
    <t>Nom</t>
  </si>
  <si>
    <t>Marque</t>
  </si>
  <si>
    <t>Format</t>
  </si>
  <si>
    <t>Prix</t>
  </si>
  <si>
    <t>THC (mg/ml)</t>
  </si>
  <si>
    <t>CBD (mg/ml)</t>
  </si>
  <si>
    <t>THC Total</t>
  </si>
  <si>
    <t>Poid net</t>
  </si>
  <si>
    <t>Volume</t>
  </si>
  <si>
    <t>mg/ml</t>
  </si>
  <si>
    <t>Indica 450:450</t>
  </si>
  <si>
    <t>CBD25:5</t>
  </si>
  <si>
    <t>CBD50</t>
  </si>
  <si>
    <t>THC 30:0</t>
  </si>
  <si>
    <t>Huille Riche en THC</t>
  </si>
  <si>
    <t>Mix3</t>
  </si>
  <si>
    <t>Rosée Nordique</t>
  </si>
  <si>
    <t>Huile Harmoniseuse 15:15</t>
  </si>
  <si>
    <t>Harmoniser</t>
  </si>
  <si>
    <t>CBD 1500</t>
  </si>
  <si>
    <t>CBD 1500 (Tyche)</t>
  </si>
  <si>
    <t>Huile de CBD (QC)</t>
  </si>
  <si>
    <t>CBD 250</t>
  </si>
  <si>
    <t>Huile Riche en CBD</t>
  </si>
  <si>
    <t>Libérer</t>
  </si>
  <si>
    <t>GELLULES</t>
  </si>
  <si>
    <t>THC (mg)</t>
  </si>
  <si>
    <t>CBD (mg)</t>
  </si>
  <si>
    <t>Argyle 10mg - Nordle</t>
  </si>
  <si>
    <t>Gems 5:0</t>
  </si>
  <si>
    <t>Penelope 2,5mg - Skunk Haze (Sativa)</t>
  </si>
  <si>
    <t>Gélules CBD</t>
  </si>
  <si>
    <t>Tweed CBD 20mg</t>
  </si>
  <si>
    <t>CBD Cap 25</t>
  </si>
  <si>
    <t>CBD 1500 - Katani</t>
  </si>
  <si>
    <t>CBD 750 - Katani</t>
  </si>
  <si>
    <t>ATOMISEURS</t>
  </si>
  <si>
    <t>THC</t>
  </si>
  <si>
    <t>CBD</t>
  </si>
  <si>
    <t>Twd. Indica</t>
  </si>
  <si>
    <t>Indica 300:300</t>
  </si>
  <si>
    <t>Sativa 500</t>
  </si>
  <si>
    <t>Twd. Sativa</t>
  </si>
  <si>
    <t>Penelope - Skunk Haze</t>
  </si>
  <si>
    <t>CBD 1000</t>
  </si>
  <si>
    <t>Atomiseur CBD 750mg -</t>
  </si>
  <si>
    <t>Atomiseur CBD</t>
  </si>
  <si>
    <t>Thé camomille apaisante</t>
  </si>
  <si>
    <t>Thé vert décaf pêche gingembre</t>
  </si>
  <si>
    <t>Tisane lavande camomille</t>
  </si>
  <si>
    <t>Thé harmonie hibiscus et maté (2)</t>
  </si>
  <si>
    <t>Agrumes 5</t>
  </si>
  <si>
    <t>Mangue et Ananas</t>
  </si>
  <si>
    <t>Première Date</t>
  </si>
  <si>
    <t>Limonade à l'eau de Rose</t>
  </si>
  <si>
    <t>Melon d'eau et Menthe</t>
  </si>
  <si>
    <t>Tonique pétillant au pinène</t>
  </si>
  <si>
    <t>Tonique pétillant au valancène</t>
  </si>
  <si>
    <t>Tonique pétillant au limonène</t>
  </si>
  <si>
    <t>Tonique pétillant au myrcène</t>
  </si>
  <si>
    <t>Mollo 5</t>
  </si>
  <si>
    <t>Mollo 5 Lime</t>
  </si>
  <si>
    <t>Tweed Fizz Mangue</t>
  </si>
  <si>
    <t>Tweed Fizz Melon d'eau</t>
  </si>
  <si>
    <t>Tweed Fizz Cerise</t>
  </si>
  <si>
    <t>Orange sanguine pétillante</t>
  </si>
  <si>
    <t>Cerise noire pétillante</t>
  </si>
  <si>
    <t>Thé glacé vert au miel</t>
  </si>
  <si>
    <t>Thé glacé noir au citron</t>
  </si>
  <si>
    <t>Mollo 2.5</t>
  </si>
  <si>
    <t>Bleuet + Acai</t>
  </si>
  <si>
    <t>Bakerstreet &amp; Gingembre</t>
  </si>
  <si>
    <t>Houndstooth &amp; Soda</t>
  </si>
  <si>
    <t>Eau pétillante fraise hibiscus</t>
  </si>
  <si>
    <t>Eau pétillante au Pamplemousse</t>
  </si>
  <si>
    <t>Eau pétillante à la Fraise</t>
  </si>
  <si>
    <t>Fruit de la passion + Goyave</t>
  </si>
  <si>
    <t>Concombre + Menthe</t>
  </si>
  <si>
    <t>Canneberge Honeycrisp</t>
  </si>
  <si>
    <t>Citron et Lime</t>
  </si>
  <si>
    <t>Fruit du dragon et melon d'eau</t>
  </si>
  <si>
    <t>Mangue et fruit de la passion</t>
  </si>
  <si>
    <t>984 mg/g</t>
  </si>
  <si>
    <t>Isolat de CBD</t>
  </si>
  <si>
    <t>-</t>
  </si>
  <si>
    <t>62,5 mg/g</t>
  </si>
  <si>
    <t>CBD Decarb</t>
  </si>
  <si>
    <t>13 mg/g</t>
  </si>
  <si>
    <t>Detente</t>
  </si>
  <si>
    <t>Poudre THC soluble (2)</t>
  </si>
  <si>
    <t>5 mg</t>
  </si>
  <si>
    <t>Poudre THC:CBD Soluble(Edison)</t>
  </si>
  <si>
    <t>10 mg</t>
  </si>
  <si>
    <t>Poudre CBD Soluble(Edison)</t>
  </si>
  <si>
    <t>Comment ca marche</t>
  </si>
  <si>
    <t>Ajouter une ligne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</si>
  <si>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Sélectionner une cellule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</si>
  <si>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Cliquer sur Ajouter ligne et la ligne s’ajoutera au-dessus de votre sélection</t>
    </r>
  </si>
  <si>
    <t>* Évitez l’ajout d’une ligne directement sous les titres</t>
  </si>
  <si>
    <t>Supprimer une ligne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</si>
  <si>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Sélectionner le numéro de la ligne à supprimer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</si>
  <si>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Clique droite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</si>
  <si>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Supprimer</t>
    </r>
  </si>
  <si>
    <t>*Ne pas supprimer la dernière ligne des tableaux</t>
  </si>
  <si>
    <t>Ajouter des produits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</si>
  <si>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Sélectionner dans la liste déroulante correspondante le produit (Colonne nom)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</si>
  <si>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Une fois tous vos produits entrés, cliqués sur « Triés » de la section voulue et les produits se classeront par THC dans les formats et en Format et THC dans les Haschichs</t>
    </r>
  </si>
  <si>
    <t>Impression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</si>
  <si>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Insérer des feuilles 8.5 x 14 dans la porte avant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</si>
  <si>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S’assurer que dans chaque feuille Excell (Format et Haschich) l’impression soit sélectionnée à Recto Verso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</si>
  <si>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Choisir la feuille des formats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</si>
  <si>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Fichier / Imprimer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</si>
  <si>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Dans paramètre, le 2</t>
    </r>
    <r>
      <rPr>
        <vertAlign val="super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option doit être à Impression Recto Verso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</si>
  <si>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Refaire la même procédure avec la feuille Hasch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</si>
  <si>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>Ensuite seulement cliquer sur imprimer Gros Formats + Hasch</t>
    </r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</si>
  <si>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sz val="11"/>
        <color theme="1"/>
        <rFont val="Calibri"/>
        <family val="2"/>
        <scheme val="minor"/>
      </rPr>
      <t xml:space="preserve">L’impression se fera recto verso </t>
    </r>
  </si>
  <si>
    <t>À NE PAS FAIRE DANS LES MENUS</t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</si>
  <si>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Supprimer la dernière ligne du tableau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</si>
  <si>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Changer la police d’écriture (Gilroy est la police utilisé par la SQDC)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</si>
  <si>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Inscrire des données dans les colonnes FORMATS, MARQUES, PRIX, CULTIVÉ QC, COULEUR EXTERNE ET TEXTURE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</si>
  <si>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Ne pas ouvrir le fichier sur web, mais plutôt application</t>
    </r>
  </si>
  <si>
    <r>
      <t>-</t>
    </r>
    <r>
      <rPr>
        <sz val="7"/>
        <color theme="0"/>
        <rFont val="Times New Roman"/>
        <family val="1"/>
      </rPr>
      <t xml:space="preserve">          </t>
    </r>
    <r>
      <rPr>
        <sz val="11"/>
        <color theme="0"/>
        <rFont val="Calibri"/>
        <family val="2"/>
        <scheme val="minor"/>
      </rPr>
      <t>Si vous avez le fichier en dehors du travail s’assurer de l’ouvrir à partir d’Excel</t>
    </r>
  </si>
  <si>
    <t>Pour toute question écrire à Frédéric Derome ou Mathieu Gascon</t>
  </si>
  <si>
    <t>1g</t>
  </si>
  <si>
    <t>Cultivé QC</t>
  </si>
  <si>
    <t>GG (Hybride)</t>
  </si>
  <si>
    <t>Plaisirs THC - Mélange (Hybride)</t>
  </si>
  <si>
    <t>Pure Kush (Indica)</t>
  </si>
  <si>
    <t>Plaisirs Équilibrés - Mélange (Hybride)</t>
  </si>
  <si>
    <t>7g</t>
  </si>
  <si>
    <t>Okanagan Pink (Indica)</t>
  </si>
  <si>
    <t>FLEURS 15g</t>
  </si>
  <si>
    <t>Indica</t>
  </si>
  <si>
    <t>Cultivé Qc</t>
  </si>
  <si>
    <t>Sativa</t>
  </si>
  <si>
    <t>La Cerise sur le Funday - Sage N Sour</t>
  </si>
  <si>
    <t>Blanh Sativa - En rotation</t>
  </si>
  <si>
    <t>Jean Guy</t>
  </si>
  <si>
    <t>Painted Lady</t>
  </si>
  <si>
    <t>Hybride</t>
  </si>
  <si>
    <t>La Moulinette (Moulu) - Mélange</t>
  </si>
  <si>
    <t>Alien Gelato</t>
  </si>
  <si>
    <t>La Gaz à Lise - Gas Paradise</t>
  </si>
  <si>
    <t>Citrique électrique (Moulu) - Mélange</t>
  </si>
  <si>
    <t>Niaise Pas Avec la Puck (Moulu) - Cherry Noir</t>
  </si>
  <si>
    <t>MiXK (Moulu) - Mélange</t>
  </si>
  <si>
    <t>CBD à la Lime (Moulu) - Mélange</t>
  </si>
  <si>
    <t>FLEURS 28g</t>
  </si>
  <si>
    <t>Pine Tar Kush</t>
  </si>
  <si>
    <t>Slapz</t>
  </si>
  <si>
    <t>Spinach Vanilla Kush</t>
  </si>
  <si>
    <t>Pink Cookies</t>
  </si>
  <si>
    <t>Sweet Berry Kush</t>
  </si>
  <si>
    <t>Serial Jealousy</t>
  </si>
  <si>
    <t>Cherry #3</t>
  </si>
  <si>
    <t>Colonne1</t>
  </si>
  <si>
    <t>Lemon Pepper Punch</t>
  </si>
  <si>
    <t>Ultra Jean-G</t>
  </si>
  <si>
    <t>Amsterdam Sativa - En rotation</t>
  </si>
  <si>
    <t>Une Once Sativa - En rotation</t>
  </si>
  <si>
    <t>Early Lemon Berry</t>
  </si>
  <si>
    <t>OS.ONE Green Crush - Green Crush</t>
  </si>
  <si>
    <t>Artisans - En rotation</t>
  </si>
  <si>
    <t>Fleurs du BC - En rotation</t>
  </si>
  <si>
    <t>Lemon Kush</t>
  </si>
  <si>
    <t>OS.Reserve - En rotation</t>
  </si>
  <si>
    <t>Fleurs Tout Usage - Mélange</t>
  </si>
  <si>
    <t>Ben Trop - Apple Fritter</t>
  </si>
  <si>
    <t>Harlequin 1:1</t>
  </si>
  <si>
    <t>Ça varie CBD - En rotation</t>
  </si>
  <si>
    <t>KIEFS</t>
  </si>
  <si>
    <t>Tiziri Kief</t>
  </si>
  <si>
    <t>Xkief</t>
  </si>
  <si>
    <t>RÉSINES / ROSINS</t>
  </si>
  <si>
    <t>Dozé (Indica)</t>
  </si>
  <si>
    <t>Nugz Budder</t>
  </si>
  <si>
    <t>G Mint (Indica)</t>
  </si>
  <si>
    <t>Rosin 30</t>
  </si>
  <si>
    <t>HASCHICHS</t>
  </si>
  <si>
    <t>Nom (Dominance)</t>
  </si>
  <si>
    <t>Couleur Externe</t>
  </si>
  <si>
    <t>Texture</t>
  </si>
  <si>
    <t>Haschtag CBD - Mélange</t>
  </si>
  <si>
    <t>Slapz Ice Water Hash - Slapz (Indica)</t>
  </si>
  <si>
    <t>Ice Water Hash - En rotation</t>
  </si>
  <si>
    <t xml:space="preserve">Drip N' Jiggle Old School - </t>
  </si>
  <si>
    <t>Louvre - Mélange (Indica)</t>
  </si>
  <si>
    <t>Sage N' Sour Haschich - Sage n Sour (Sativa)</t>
  </si>
  <si>
    <t>Bon Vieux Hash - Mélange</t>
  </si>
  <si>
    <t>Hasch Atlantide - All Kush 47 (Sativa)</t>
  </si>
  <si>
    <t>Origine Haschich (2g) - Mandarin Cherry</t>
  </si>
  <si>
    <t>Style 1980 - En rotation</t>
  </si>
  <si>
    <t>Citrique Électrique - Mélange (Sativa)</t>
  </si>
  <si>
    <t>Hasch de Raisins - Grape Galena (Sativa)</t>
  </si>
  <si>
    <t>Afghan Gold - Mélange</t>
  </si>
  <si>
    <t>Haschich Pressé - Mélange</t>
  </si>
  <si>
    <t>Lemon Skunk -  (Sativa)</t>
  </si>
  <si>
    <t>H4 Old School - Mélange</t>
  </si>
  <si>
    <t>Haschtag Classique - En rotation</t>
  </si>
  <si>
    <t>Attache ta Tuque - Medellin (Sativa)</t>
  </si>
  <si>
    <t>Grand Daddy Purps Temple Ball -  (Indica)</t>
  </si>
  <si>
    <t>Old School Hash - En rotation</t>
  </si>
  <si>
    <t>Ono Onyx - Mélange</t>
  </si>
  <si>
    <t>Tire-Toi une Bûche - Chemdawg OG (Sativa)</t>
  </si>
  <si>
    <t>Haschich Afghan Noir - Mélange</t>
  </si>
  <si>
    <t>Afghan Black CBD - En rotation</t>
  </si>
  <si>
    <t>H29 Old School - Mélange (Sativa)</t>
  </si>
  <si>
    <t>Hasch de Zsweet - Zsweet Insanity (Sativa)</t>
  </si>
  <si>
    <t>Haschtag Hash de Noé - Mélange</t>
  </si>
  <si>
    <t>Jean Guy Temple Ball Hash - Jean Guy (Sativa)</t>
  </si>
  <si>
    <t>FLEURS ET JOINTS INFUSÉS</t>
  </si>
  <si>
    <t>Composantes</t>
  </si>
  <si>
    <t>Triple Baies Infusé</t>
  </si>
  <si>
    <t>Fleurs + Haschich</t>
  </si>
  <si>
    <t>Serpent de Haschich</t>
  </si>
  <si>
    <t>Pink Kush Infusé</t>
  </si>
  <si>
    <t>Pineapple Express Infusés</t>
  </si>
  <si>
    <t>Good Supply</t>
  </si>
  <si>
    <t>Préroulé à la Résine</t>
  </si>
  <si>
    <t>Fleurs + Résine</t>
  </si>
  <si>
    <t>Animal Face Préroulé Infusé</t>
  </si>
  <si>
    <t>1 x 1g</t>
  </si>
  <si>
    <t>Roulé de Chanvre Ananas Infusé</t>
  </si>
  <si>
    <t>Fleur + Haschich Libanais</t>
  </si>
  <si>
    <t>Ice Cream Infusé de DiamantTHC</t>
  </si>
  <si>
    <t>Legendary Larry</t>
  </si>
  <si>
    <t>Joints Infusés Jean Guy</t>
  </si>
  <si>
    <t>Joints Infusés d'Afghan Gold</t>
  </si>
  <si>
    <t>Bouquet Infusé Pêche</t>
  </si>
  <si>
    <t>15/15 Vision CBD</t>
  </si>
  <si>
    <t>Fleurs + Diamants</t>
  </si>
  <si>
    <t>Galactic Burger Joints Infusés</t>
  </si>
  <si>
    <t>3 x 0,6 g</t>
  </si>
  <si>
    <t>Lemon Linx Joints Infusés</t>
  </si>
  <si>
    <t>Nugz</t>
  </si>
  <si>
    <t>Fleurs + Kief</t>
  </si>
  <si>
    <t>G Sherb Joints Infusés</t>
  </si>
  <si>
    <t>20:20 Vision</t>
  </si>
  <si>
    <t>5 x 0,5 g</t>
  </si>
  <si>
    <t>Bouquet Infusé Framboise</t>
  </si>
  <si>
    <t>Pure Laine Cannabis</t>
  </si>
  <si>
    <t>Fleurs + Distillat</t>
  </si>
  <si>
    <t>3,5 g</t>
  </si>
  <si>
    <t>Moulu Infusé Au Haschich</t>
  </si>
  <si>
    <t>Irony</t>
  </si>
  <si>
    <t>28g Sativa</t>
  </si>
  <si>
    <t>Nom - Genetique</t>
  </si>
  <si>
    <t>Nom produit</t>
  </si>
  <si>
    <t>Code-barres</t>
  </si>
  <si>
    <t>Cultivé au Québec</t>
  </si>
  <si>
    <t>Espèce</t>
  </si>
  <si>
    <t>Dominance Hybride (ds)</t>
  </si>
  <si>
    <t>Variété</t>
  </si>
  <si>
    <t>Terpène dominant</t>
  </si>
  <si>
    <t>retrait</t>
  </si>
  <si>
    <t>111</t>
  </si>
  <si>
    <t>QC</t>
  </si>
  <si>
    <t>Promenade</t>
  </si>
  <si>
    <t>Limonène</t>
  </si>
  <si>
    <t>28 g</t>
  </si>
  <si>
    <t>Amsterdam Sativa</t>
  </si>
  <si>
    <t>En rotation</t>
  </si>
  <si>
    <t>Highly Dutch Organic</t>
  </si>
  <si>
    <t>C99</t>
  </si>
  <si>
    <t>Cinderella 99</t>
  </si>
  <si>
    <t>Twd.28</t>
  </si>
  <si>
    <t>Myrcène</t>
  </si>
  <si>
    <t>Chemdawg</t>
  </si>
  <si>
    <t>Tweed</t>
  </si>
  <si>
    <t>Qc</t>
  </si>
  <si>
    <t>Frozen Lemons</t>
  </si>
  <si>
    <t>Britney's Frozen Lemon</t>
  </si>
  <si>
    <t>Wô Là</t>
  </si>
  <si>
    <t>o</t>
  </si>
  <si>
    <t>Golden Goat</t>
  </si>
  <si>
    <t>Terpinolène</t>
  </si>
  <si>
    <t>Grapefruit Tangie</t>
  </si>
  <si>
    <t>Jacques Haze ultra</t>
  </si>
  <si>
    <t>Ultra Jack</t>
  </si>
  <si>
    <t>Maitri</t>
  </si>
  <si>
    <t>Dubon</t>
  </si>
  <si>
    <t>Caryophyllène</t>
  </si>
  <si>
    <t>Lemon Margy</t>
  </si>
  <si>
    <t>Big Bag O' Buds</t>
  </si>
  <si>
    <t>Lemon Meringue</t>
  </si>
  <si>
    <t>Original Stash</t>
  </si>
  <si>
    <t>Lemon pepper punch</t>
  </si>
  <si>
    <t>Green Joy</t>
  </si>
  <si>
    <t>Lemon Z</t>
  </si>
  <si>
    <t>Saturday</t>
  </si>
  <si>
    <t>Megaton Melon #4</t>
  </si>
  <si>
    <t>Megaton Melon</t>
  </si>
  <si>
    <t>Ogen</t>
  </si>
  <si>
    <t>Farnasène</t>
  </si>
  <si>
    <t>Mélange Sativa</t>
  </si>
  <si>
    <t>OMY</t>
  </si>
  <si>
    <t>Pinène</t>
  </si>
  <si>
    <t>MK Sour Diesel</t>
  </si>
  <si>
    <t>Northern Lights Haze</t>
  </si>
  <si>
    <t>Broken Coast</t>
  </si>
  <si>
    <t>Nuggetz Sativa</t>
  </si>
  <si>
    <t>Génétique du fournisseur</t>
  </si>
  <si>
    <t>Spinach</t>
  </si>
  <si>
    <t>Once Sativa</t>
  </si>
  <si>
    <t>La Batch</t>
  </si>
  <si>
    <t>OS.130</t>
  </si>
  <si>
    <t>OS.Génétiques Haze</t>
  </si>
  <si>
    <t>OS.ONE Green Crush</t>
  </si>
  <si>
    <t>Green Crush</t>
  </si>
  <si>
    <t>Special Haze</t>
  </si>
  <si>
    <t>Pure Laine</t>
  </si>
  <si>
    <t>Spinach Lemon Skunk</t>
  </si>
  <si>
    <t>Spinach Lemon Skunk​</t>
  </si>
  <si>
    <t>Lemon Skunk</t>
  </si>
  <si>
    <t>Strawberry Frappé</t>
  </si>
  <si>
    <t>Strawberry Milkshake</t>
  </si>
  <si>
    <t>Tangerine Twist</t>
  </si>
  <si>
    <t>Twd.28 Sativa</t>
  </si>
  <si>
    <t>Ultra Sour</t>
  </si>
  <si>
    <t>Grasslands</t>
  </si>
  <si>
    <t>Ultra Sour (Big Bag)</t>
  </si>
  <si>
    <t>Ultra Sour (Saturday)</t>
  </si>
  <si>
    <t>Une Once Sativa</t>
  </si>
  <si>
    <t>Voie Rapide Sativa</t>
  </si>
  <si>
    <t>Red Headed Stranger</t>
  </si>
  <si>
    <t>Hiway</t>
  </si>
  <si>
    <t>28g Indica</t>
  </si>
  <si>
    <t>Nom - Génétique</t>
  </si>
  <si>
    <t>*Bientôt Retiré | Triple Blue</t>
  </si>
  <si>
    <t>Triple Blue</t>
  </si>
  <si>
    <t>Top Leaf</t>
  </si>
  <si>
    <t>*Retiré</t>
  </si>
  <si>
    <t>*Bientôt Retiré | Twd.28 Indica</t>
  </si>
  <si>
    <t>28g</t>
  </si>
  <si>
    <t>Afghan Skunk</t>
  </si>
  <si>
    <t>Palmetto</t>
  </si>
  <si>
    <t>Alien Dawg</t>
  </si>
  <si>
    <t>Animal RNTZ</t>
  </si>
  <si>
    <t>Redecan</t>
  </si>
  <si>
    <t>BC God Bud</t>
  </si>
  <si>
    <t>God Bud</t>
  </si>
  <si>
    <t>Bon Jak</t>
  </si>
  <si>
    <t>BC White Rainbow Biologique</t>
  </si>
  <si>
    <t>Simply Bare</t>
  </si>
  <si>
    <t>Black Cherry Punch</t>
  </si>
  <si>
    <t>Bubba</t>
  </si>
  <si>
    <t>Bleuh Light</t>
  </si>
  <si>
    <t>Chimp Mints</t>
  </si>
  <si>
    <t>Frost Monster</t>
  </si>
  <si>
    <t>Garlic Jelly</t>
  </si>
  <si>
    <t>God Kush Cross</t>
  </si>
  <si>
    <t>Gorilla Berry</t>
  </si>
  <si>
    <t>I.C.C.</t>
  </si>
  <si>
    <t>Ice Cream Cake</t>
  </si>
  <si>
    <t>Le Gros Indica</t>
  </si>
  <si>
    <t>Mélange</t>
  </si>
  <si>
    <t>Mango</t>
  </si>
  <si>
    <t>Mélange Indica</t>
  </si>
  <si>
    <t>Motor Breath</t>
  </si>
  <si>
    <t>Humulène</t>
  </si>
  <si>
    <t>OG Kush Biologique</t>
  </si>
  <si>
    <t>OG Kush</t>
  </si>
  <si>
    <t>Homestead</t>
  </si>
  <si>
    <t>OS.Génétiques Kush</t>
  </si>
  <si>
    <t>OS.Indica</t>
  </si>
  <si>
    <t>Powdered Donuts</t>
  </si>
  <si>
    <t>Purple Punch-Out</t>
  </si>
  <si>
    <t>Rotterdam Indica</t>
  </si>
  <si>
    <t>Starwalker Kush</t>
  </si>
  <si>
    <t>Skywalker Kush</t>
  </si>
  <si>
    <t>Sunset Sherbet</t>
  </si>
  <si>
    <t>Twd.28 Indica</t>
  </si>
  <si>
    <t>Vanilla Gelato</t>
  </si>
  <si>
    <t>Vanilla Ice</t>
  </si>
  <si>
    <t>28g  Hybride</t>
  </si>
  <si>
    <t>Fleurons</t>
  </si>
  <si>
    <t>*Bientôt Retiré | Le MAC-1</t>
  </si>
  <si>
    <t>Le MAC-1</t>
  </si>
  <si>
    <t>*Bientôt Retiré | Pheno Hunter</t>
  </si>
  <si>
    <t>Tribal</t>
  </si>
  <si>
    <t>*Bientôt Retiré | Spinach Purple Lava</t>
  </si>
  <si>
    <t>Spinach Purple lava</t>
  </si>
  <si>
    <t>1:1 Balancé AAAA</t>
  </si>
  <si>
    <t>Québec Craft Cannabis</t>
  </si>
  <si>
    <t>AAA Hybride</t>
  </si>
  <si>
    <t>White Widow</t>
  </si>
  <si>
    <t>AAAA</t>
  </si>
  <si>
    <t>The Legacy Market</t>
  </si>
  <si>
    <t>Artisans</t>
  </si>
  <si>
    <t>DLYS</t>
  </si>
  <si>
    <t>BC Chimp Mints</t>
  </si>
  <si>
    <t>Flowr</t>
  </si>
  <si>
    <t>RRW</t>
  </si>
  <si>
    <t>Red Red Wine</t>
  </si>
  <si>
    <t>Culture Chloris</t>
  </si>
  <si>
    <t>Ben Trop</t>
  </si>
  <si>
    <t>Apple Fritter</t>
  </si>
  <si>
    <t>Fleur de Lise</t>
  </si>
  <si>
    <t>Ça varie CBD</t>
  </si>
  <si>
    <t>T'es Dans L'Champ</t>
  </si>
  <si>
    <t>CBD Shark</t>
  </si>
  <si>
    <t>Figr</t>
  </si>
  <si>
    <t>Coupe Classique</t>
  </si>
  <si>
    <t>Hologram</t>
  </si>
  <si>
    <t>Endo Hybride Indica</t>
  </si>
  <si>
    <t>Endo</t>
  </si>
  <si>
    <t>Fleurs du BC</t>
  </si>
  <si>
    <t>Fleurs Tout Usage</t>
  </si>
  <si>
    <t>Bake Sale</t>
  </si>
  <si>
    <t>Galactic Gas</t>
  </si>
  <si>
    <t>Green Gelato</t>
  </si>
  <si>
    <t>Gros Plaisirs</t>
  </si>
  <si>
    <t>Kush Mints</t>
  </si>
  <si>
    <t>L' Joe Louis</t>
  </si>
  <si>
    <t>Fleurs de Lise</t>
  </si>
  <si>
    <t>Le Grand CBD</t>
  </si>
  <si>
    <t>La Seigneurie</t>
  </si>
  <si>
    <t>LE MAC-1</t>
  </si>
  <si>
    <t>Little Tokyo</t>
  </si>
  <si>
    <t>Vert</t>
  </si>
  <si>
    <t>Méli-Mélo</t>
  </si>
  <si>
    <t>Fleurs de Chez Nous</t>
  </si>
  <si>
    <t>Melon Dream</t>
  </si>
  <si>
    <t>Middelburg Hybride</t>
  </si>
  <si>
    <t>Nugz Hybride</t>
  </si>
  <si>
    <t>OS.Reserve</t>
  </si>
  <si>
    <t>Peanut Butter Cake</t>
  </si>
  <si>
    <t>Petit Matin</t>
  </si>
  <si>
    <t>Pheno Hunter</t>
  </si>
  <si>
    <t>QC Limité Blue Iguana</t>
  </si>
  <si>
    <t>Blue Iguana</t>
  </si>
  <si>
    <t>Rainbow Pavé</t>
  </si>
  <si>
    <t>Cultures Chloris</t>
  </si>
  <si>
    <t>Scout 91K</t>
  </si>
  <si>
    <t>Linalol</t>
  </si>
  <si>
    <t>Spinach Purple Lava</t>
  </si>
  <si>
    <t>Symphonie</t>
  </si>
  <si>
    <t>Tam Tams</t>
  </si>
  <si>
    <t>Une Once Hybride</t>
  </si>
  <si>
    <t>Warlock</t>
  </si>
  <si>
    <t>Zip</t>
  </si>
  <si>
    <t>Tuck Shop</t>
  </si>
  <si>
    <t>10-15g Sativa</t>
  </si>
  <si>
    <t>Blanh Sativa</t>
  </si>
  <si>
    <t>Blanh</t>
  </si>
  <si>
    <t>15g</t>
  </si>
  <si>
    <t>Bleu Nuit</t>
  </si>
  <si>
    <t>688318000914</t>
  </si>
  <si>
    <t>Blue Dream</t>
  </si>
  <si>
    <t>1964</t>
  </si>
  <si>
    <t>15 g</t>
  </si>
  <si>
    <t>Choix du Cultivateur Sativa</t>
  </si>
  <si>
    <t>694144006877</t>
  </si>
  <si>
    <t>Daily Special Sativa</t>
  </si>
  <si>
    <t>629108146146</t>
  </si>
  <si>
    <t>Daily Special</t>
  </si>
  <si>
    <t>Lemon Meringue Pie</t>
  </si>
  <si>
    <t>Lemon Linx Grind</t>
  </si>
  <si>
    <t>Lemon Linx</t>
  </si>
  <si>
    <t>Delahaze</t>
  </si>
  <si>
    <t>628582000258</t>
  </si>
  <si>
    <t>San Rafael '71</t>
  </si>
  <si>
    <t>Hélios</t>
  </si>
  <si>
    <t>697238113536</t>
  </si>
  <si>
    <t>Snow Leopard</t>
  </si>
  <si>
    <t>Hexo</t>
  </si>
  <si>
    <t>Pure Trichomes x Velada</t>
  </si>
  <si>
    <t>694144007218</t>
  </si>
  <si>
    <t>La Cerise sur le Funday</t>
  </si>
  <si>
    <t>Sage N Sour</t>
  </si>
  <si>
    <t>Lemon Haze</t>
  </si>
  <si>
    <t>629108266141</t>
  </si>
  <si>
    <t>Medellin Sativa</t>
  </si>
  <si>
    <t>Medellin</t>
  </si>
  <si>
    <t>Lemonnade</t>
  </si>
  <si>
    <t>Méga-Fleur Snow Leopard (10g)</t>
  </si>
  <si>
    <t>697238119187</t>
  </si>
  <si>
    <t>Cédrène</t>
  </si>
  <si>
    <t>10 g</t>
  </si>
  <si>
    <t>Prêt à Rouler Moulu Sativa</t>
  </si>
  <si>
    <t>694144008994</t>
  </si>
  <si>
    <t>Bingo</t>
  </si>
  <si>
    <t>Tangerine Dream</t>
  </si>
  <si>
    <t>628582000548</t>
  </si>
  <si>
    <t>688083002342</t>
  </si>
  <si>
    <t>Twd.</t>
  </si>
  <si>
    <t>10-15g Indica</t>
  </si>
  <si>
    <t>*Bientôt Retiré | Cherry Blossom</t>
  </si>
  <si>
    <t>Cherry Blossom</t>
  </si>
  <si>
    <t>Biscotti</t>
  </si>
  <si>
    <t>Hazo</t>
  </si>
  <si>
    <t>Farnésène</t>
  </si>
  <si>
    <t>Blueberry Muffins</t>
  </si>
  <si>
    <t>628634303085</t>
  </si>
  <si>
    <t>Daily Special Indica</t>
  </si>
  <si>
    <t>629108143145</t>
  </si>
  <si>
    <t>Durban Gorilla Bio</t>
  </si>
  <si>
    <t>Durban Gorilla</t>
  </si>
  <si>
    <t>Frosted Cookies</t>
  </si>
  <si>
    <t>Galactic Burger Grind</t>
  </si>
  <si>
    <t>Galactic Burger</t>
  </si>
  <si>
    <t>Gasberry Pie</t>
  </si>
  <si>
    <t>629108299149</t>
  </si>
  <si>
    <t>Grand Daddy Purps</t>
  </si>
  <si>
    <t>H27 Indica</t>
  </si>
  <si>
    <t>Grindh</t>
  </si>
  <si>
    <t>Joints Non Roulés + 15 Cônes (Moulu)</t>
  </si>
  <si>
    <t>Lagune</t>
  </si>
  <si>
    <t>697238113529</t>
  </si>
  <si>
    <t>Northern Berry</t>
  </si>
  <si>
    <t>MK Ultra</t>
  </si>
  <si>
    <t>629108271145</t>
  </si>
  <si>
    <t>Pink Kush</t>
  </si>
  <si>
    <t>628582000364</t>
  </si>
  <si>
    <t>Prêt à Rouler Moulu Indica</t>
  </si>
  <si>
    <t>694144009052</t>
  </si>
  <si>
    <t>Trois Fromages (Moulu)</t>
  </si>
  <si>
    <t>Canaca</t>
  </si>
  <si>
    <t>688083002311</t>
  </si>
  <si>
    <t>Wappa</t>
  </si>
  <si>
    <t>809582000923</t>
  </si>
  <si>
    <t>Re-up</t>
  </si>
  <si>
    <t>White Mac</t>
  </si>
  <si>
    <t>10-15g Hybride</t>
  </si>
  <si>
    <t>*Bientôt Retiré | H10 (Moulu)</t>
  </si>
  <si>
    <t>Bleuh</t>
  </si>
  <si>
    <t>*Bientôt Retiré | London Pound Mints</t>
  </si>
  <si>
    <t>Next Friday</t>
  </si>
  <si>
    <t>820939001585</t>
  </si>
  <si>
    <t>Artisans Plus</t>
  </si>
  <si>
    <t>820939001752</t>
  </si>
  <si>
    <t>CBD à la Lime (Moulu)</t>
  </si>
  <si>
    <t>Citrique électrique (Moulu)</t>
  </si>
  <si>
    <t>671148301016</t>
  </si>
  <si>
    <t>Shred</t>
  </si>
  <si>
    <t>Citron XXX (Moulu)</t>
  </si>
  <si>
    <t>826966013065</t>
  </si>
  <si>
    <t>Cyber Fuel OG</t>
  </si>
  <si>
    <t>Drift</t>
  </si>
  <si>
    <t>Drip N' Jiggle Grind (Moulu)</t>
  </si>
  <si>
    <t>Drip N' Jiggle</t>
  </si>
  <si>
    <t>Gas (Moulu)</t>
  </si>
  <si>
    <t>H10 (Moulu)</t>
  </si>
  <si>
    <t>Hydro Baie (Moulu)</t>
  </si>
  <si>
    <t>826966013072</t>
  </si>
  <si>
    <t>La Gaz à Lise</t>
  </si>
  <si>
    <t>Gas Paradise</t>
  </si>
  <si>
    <t>La Moulinette (Moulu)</t>
  </si>
  <si>
    <t>Lab 101</t>
  </si>
  <si>
    <t>Clem &amp; Co</t>
  </si>
  <si>
    <t>London Pound Mints</t>
  </si>
  <si>
    <t>Mélange de Fruits (Moulu)</t>
  </si>
  <si>
    <t>Mélange Floral (Moulu)</t>
  </si>
  <si>
    <t>MiXK (Moulu)</t>
  </si>
  <si>
    <t>XK</t>
  </si>
  <si>
    <t>Moon Berry</t>
  </si>
  <si>
    <t>Niaise Pas Avec la Puck (Moulu)</t>
  </si>
  <si>
    <t>666592000141</t>
  </si>
  <si>
    <t>Cherry Noir</t>
  </si>
  <si>
    <t>Nugz Grind Slerple (Moulu)</t>
  </si>
  <si>
    <t>Slerple</t>
  </si>
  <si>
    <t>Nugz Sativa</t>
  </si>
  <si>
    <t>Sélections de Petits Lots</t>
  </si>
  <si>
    <t>OS.Shake</t>
  </si>
  <si>
    <t>697238114120</t>
  </si>
  <si>
    <t>Tropical and Twisted (Moulu)</t>
  </si>
  <si>
    <t>Alaskan Ice</t>
  </si>
  <si>
    <t>QcGoldtech</t>
  </si>
  <si>
    <t>1 g</t>
  </si>
  <si>
    <t>Chocolate Fondue</t>
  </si>
  <si>
    <t>688083000010</t>
  </si>
  <si>
    <t>DNA Genetics</t>
  </si>
  <si>
    <t>Dark Shadow Haze</t>
  </si>
  <si>
    <t>Clair de Lune</t>
  </si>
  <si>
    <t>GG</t>
  </si>
  <si>
    <t>GMO Garlic Breath</t>
  </si>
  <si>
    <t>688083010842</t>
  </si>
  <si>
    <t>Doja</t>
  </si>
  <si>
    <t>694144000134</t>
  </si>
  <si>
    <t>Nordle</t>
  </si>
  <si>
    <t>Solei</t>
  </si>
  <si>
    <t>L'Bon Voisin</t>
  </si>
  <si>
    <t>Alien Cookies</t>
  </si>
  <si>
    <t>Le P'tit Phéno CBD</t>
  </si>
  <si>
    <t>Pecko</t>
  </si>
  <si>
    <t>Le P'tit Phéno Indica</t>
  </si>
  <si>
    <t>Le P'tit Phéno Sativa</t>
  </si>
  <si>
    <t>Pennywise 1:1</t>
  </si>
  <si>
    <t>Plaisirs CBD</t>
  </si>
  <si>
    <t>Plaisirs Équilibrés</t>
  </si>
  <si>
    <t>Plaisirs THC</t>
  </si>
  <si>
    <t>Pure Kush</t>
  </si>
  <si>
    <t>Renouer</t>
  </si>
  <si>
    <t>694144000172</t>
  </si>
  <si>
    <t>Jack Herer</t>
  </si>
  <si>
    <t>Shishkaberry</t>
  </si>
  <si>
    <t>Sour Amnesia</t>
  </si>
  <si>
    <t>Cactus Funk Breath</t>
  </si>
  <si>
    <t>7ACRES</t>
  </si>
  <si>
    <t>7 g</t>
  </si>
  <si>
    <t>Flamingo</t>
  </si>
  <si>
    <t>Carmel Cannabis</t>
  </si>
  <si>
    <t>Okanagan Pink</t>
  </si>
  <si>
    <t>Z-Splitter Punch</t>
  </si>
  <si>
    <t>Cheers Cannabis</t>
  </si>
  <si>
    <t>Huiles</t>
  </si>
  <si>
    <t>Arômes</t>
  </si>
  <si>
    <t>Arômes2</t>
  </si>
  <si>
    <t>Cathégorie</t>
  </si>
  <si>
    <t>Poids</t>
  </si>
  <si>
    <t>Pur Dew</t>
  </si>
  <si>
    <t>Blissco</t>
  </si>
  <si>
    <t>Bisabolol</t>
  </si>
  <si>
    <t>Terreux</t>
  </si>
  <si>
    <t>Boisé</t>
  </si>
  <si>
    <t>30 ml</t>
  </si>
  <si>
    <t>Huile</t>
  </si>
  <si>
    <t>Huile 1:5</t>
  </si>
  <si>
    <t>Sugarleaf</t>
  </si>
  <si>
    <t>Huile Équilibrée</t>
  </si>
  <si>
    <t>Huile de CBD</t>
  </si>
  <si>
    <t>PanHash</t>
  </si>
  <si>
    <t>Huile Riche en THC</t>
  </si>
  <si>
    <t>Huile Harmonieuse 15:15</t>
  </si>
  <si>
    <t>CBD25</t>
  </si>
  <si>
    <t>MediPharm Labs</t>
  </si>
  <si>
    <t>Huile Hybride Équilibrée</t>
  </si>
  <si>
    <t>Huile CBD Hybride</t>
  </si>
  <si>
    <t>Huile THC Indica</t>
  </si>
  <si>
    <t>Huile THC Sativa</t>
  </si>
  <si>
    <t>Déconnecter</t>
  </si>
  <si>
    <t>Harmoniser Plus+ 15:15</t>
  </si>
  <si>
    <t>Libérer Plus+ 1:30</t>
  </si>
  <si>
    <t>CBD DROPS 200</t>
  </si>
  <si>
    <t>15 ml</t>
  </si>
  <si>
    <t>Sativa 750</t>
  </si>
  <si>
    <t>20 ml</t>
  </si>
  <si>
    <t>Charlotte's Angel Bio</t>
  </si>
  <si>
    <t>Charlotte's Angel</t>
  </si>
  <si>
    <t>The Green Organic Dutchman</t>
  </si>
  <si>
    <t>Chemdog 30 THC</t>
  </si>
  <si>
    <t>Chemdog</t>
  </si>
  <si>
    <t>Souvenir</t>
  </si>
  <si>
    <t>Sync 25 CBD</t>
  </si>
  <si>
    <t>Island Mist</t>
  </si>
  <si>
    <t>Emerald Health Therapeutics</t>
  </si>
  <si>
    <t>Katani</t>
  </si>
  <si>
    <t>Tyche</t>
  </si>
  <si>
    <t>25 ml</t>
  </si>
  <si>
    <t>Huile 5:5</t>
  </si>
  <si>
    <t>Huile CBD</t>
  </si>
  <si>
    <t>Atomiseurs</t>
  </si>
  <si>
    <t>Atomiseur THC</t>
  </si>
  <si>
    <t>Namaste</t>
  </si>
  <si>
    <t>Atomiseur Oral</t>
  </si>
  <si>
    <t>Twd. Balanced</t>
  </si>
  <si>
    <t>Penelope</t>
  </si>
  <si>
    <t>Skunk Haze</t>
  </si>
  <si>
    <t>Tweed CBD 20ml</t>
  </si>
  <si>
    <t>Riff</t>
  </si>
  <si>
    <t>Brume THC 1000</t>
  </si>
  <si>
    <t>7,5 ml</t>
  </si>
  <si>
    <t>CBD 750</t>
  </si>
  <si>
    <t>Gélules</t>
  </si>
  <si>
    <t>628242243094</t>
  </si>
  <si>
    <t>15 unités</t>
  </si>
  <si>
    <t>Gélule</t>
  </si>
  <si>
    <t>628242243285</t>
  </si>
  <si>
    <t>CBD Gems</t>
  </si>
  <si>
    <t>628242243391</t>
  </si>
  <si>
    <t>Gems 5:5</t>
  </si>
  <si>
    <t>628242243483</t>
  </si>
  <si>
    <t>CBD Gems +</t>
  </si>
  <si>
    <t>628451574057</t>
  </si>
  <si>
    <t>Capsules Riche en CBD</t>
  </si>
  <si>
    <t>30 unités</t>
  </si>
  <si>
    <t>628451574255</t>
  </si>
  <si>
    <t>Capsules Harmonieuse 5:5</t>
  </si>
  <si>
    <t>628451574286</t>
  </si>
  <si>
    <t>Capsules Riche en THC</t>
  </si>
  <si>
    <t>628582000975</t>
  </si>
  <si>
    <t>628582000999</t>
  </si>
  <si>
    <t>628634303061</t>
  </si>
  <si>
    <t>CBD Cap25</t>
  </si>
  <si>
    <t>De La Ferme</t>
  </si>
  <si>
    <t>629108225148</t>
  </si>
  <si>
    <t>Gélules THC Sativa</t>
  </si>
  <si>
    <t>629108226145</t>
  </si>
  <si>
    <t>Gélules THC Indica</t>
  </si>
  <si>
    <t>629108227142</t>
  </si>
  <si>
    <t>Gélules Équilibrées</t>
  </si>
  <si>
    <t>629108228149</t>
  </si>
  <si>
    <t>688083001093</t>
  </si>
  <si>
    <t>Argyle 10mg</t>
  </si>
  <si>
    <t>688083001192</t>
  </si>
  <si>
    <t>Bakerstreet 10mg</t>
  </si>
  <si>
    <t>Hindu Kush</t>
  </si>
  <si>
    <t>688083001215</t>
  </si>
  <si>
    <t>Bakerstreet 2.5mg</t>
  </si>
  <si>
    <t>688083001376</t>
  </si>
  <si>
    <t>688083001550</t>
  </si>
  <si>
    <t>Houndstooth 10mg</t>
  </si>
  <si>
    <t>Candyland</t>
  </si>
  <si>
    <t>688083001574</t>
  </si>
  <si>
    <t>Houndstooth 2.5mg</t>
  </si>
  <si>
    <t>688083001680</t>
  </si>
  <si>
    <t>Penelope 10mg</t>
  </si>
  <si>
    <t>688083001703</t>
  </si>
  <si>
    <t>Penelope 2.5mg</t>
  </si>
  <si>
    <t>688083003684</t>
  </si>
  <si>
    <t>Tweed CBD 10mg</t>
  </si>
  <si>
    <t>694144003395</t>
  </si>
  <si>
    <t>697238112065</t>
  </si>
  <si>
    <t>Gélules CBD 25 mg</t>
  </si>
  <si>
    <t>697238112072</t>
  </si>
  <si>
    <t>Gélules CBD 10 mg</t>
  </si>
  <si>
    <t>800447000348</t>
  </si>
  <si>
    <t>Capsules Indica</t>
  </si>
  <si>
    <t>Indiva</t>
  </si>
  <si>
    <t>850119000275</t>
  </si>
  <si>
    <t>850119000558</t>
  </si>
  <si>
    <t>Boissons</t>
  </si>
  <si>
    <t>N</t>
  </si>
  <si>
    <t>Dérivé</t>
  </si>
  <si>
    <t>Gingembre + Lime</t>
  </si>
  <si>
    <t>Quatreau</t>
  </si>
  <si>
    <t>355 ml</t>
  </si>
  <si>
    <t>Boisson</t>
  </si>
  <si>
    <t>Bleuet + Açaï</t>
  </si>
  <si>
    <t>Fruité</t>
  </si>
  <si>
    <t>Eau Pétillante Fraise Hibiscus</t>
  </si>
  <si>
    <t>Veryvell.</t>
  </si>
  <si>
    <t>Thé Glacé Noir au Citron</t>
  </si>
  <si>
    <t>Thé Glacé Vert au Miel</t>
  </si>
  <si>
    <t>Sucré</t>
  </si>
  <si>
    <t>Citronné</t>
  </si>
  <si>
    <t>Mollo</t>
  </si>
  <si>
    <t>XMG</t>
  </si>
  <si>
    <t>236 ml</t>
  </si>
  <si>
    <t>Mangue Ananas 5</t>
  </si>
  <si>
    <t>Cerise Noire 5</t>
  </si>
  <si>
    <t>XMG ALT</t>
  </si>
  <si>
    <t>Tonique Pétillant au Limonène</t>
  </si>
  <si>
    <t>House of Terpenes</t>
  </si>
  <si>
    <t>Tonique Pétillant au Myrcène</t>
  </si>
  <si>
    <t>Tonique Pétillant au Pinène</t>
  </si>
  <si>
    <t>Tonique Pétillant au Valencène</t>
  </si>
  <si>
    <t>Orange Sanguine Pétillante</t>
  </si>
  <si>
    <t>Little Victory</t>
  </si>
  <si>
    <t>Cerise Noire Pétillante</t>
  </si>
  <si>
    <t>Lime</t>
  </si>
  <si>
    <t>Little Victory Celtzer</t>
  </si>
  <si>
    <t>Framboise</t>
  </si>
  <si>
    <t>Bedfellows</t>
  </si>
  <si>
    <t>Floral</t>
  </si>
  <si>
    <t>Doppelrädder</t>
  </si>
  <si>
    <t>Citron et lime</t>
  </si>
  <si>
    <t>Everie</t>
  </si>
  <si>
    <t>269 ml</t>
  </si>
  <si>
    <t>Eau Pétillante à la Fraise</t>
  </si>
  <si>
    <t>Eau Pétillante au Pamplemousse</t>
  </si>
  <si>
    <t>Feuille de Pêcher</t>
  </si>
  <si>
    <t>7 Wanders</t>
  </si>
  <si>
    <t>Mûre Lavande</t>
  </si>
  <si>
    <t>HYTN</t>
  </si>
  <si>
    <t>Infusions</t>
  </si>
  <si>
    <t>Mélange de Thé au Curcuma</t>
  </si>
  <si>
    <t>Velada</t>
  </si>
  <si>
    <t>3 unités</t>
  </si>
  <si>
    <t>Infusion</t>
  </si>
  <si>
    <t>Mélange de Café Olé</t>
  </si>
  <si>
    <t>Mélange de Matcha</t>
  </si>
  <si>
    <t>2 unités</t>
  </si>
  <si>
    <t>Thé Rooibos Vanille</t>
  </si>
  <si>
    <t>Thé Vert Décaf Pêche Gingembre</t>
  </si>
  <si>
    <t>Tisane Lavande Camomille</t>
  </si>
  <si>
    <t>Thé à la menthe</t>
  </si>
  <si>
    <t>Thé Vert Zen Sencha</t>
  </si>
  <si>
    <t>TGOD Organics</t>
  </si>
  <si>
    <t>10 unités</t>
  </si>
  <si>
    <t>Thé Camomille Apaisante</t>
  </si>
  <si>
    <t>4 unités</t>
  </si>
  <si>
    <t>Thé Harmonie Hibiscus et Maté</t>
  </si>
  <si>
    <t>Haschich</t>
  </si>
  <si>
    <t xml:space="preserve">Dominance </t>
  </si>
  <si>
    <t>Couleur externe</t>
  </si>
  <si>
    <t>Afghan Black CBD</t>
  </si>
  <si>
    <t>Épicé</t>
  </si>
  <si>
    <t>3 g</t>
  </si>
  <si>
    <t>brun foncé à noir</t>
  </si>
  <si>
    <t>malléable à résineux</t>
  </si>
  <si>
    <t>Afghan Gold</t>
  </si>
  <si>
    <t>Nordique Royale</t>
  </si>
  <si>
    <t>2 g</t>
  </si>
  <si>
    <t>Brun foncé à noir</t>
  </si>
  <si>
    <t>Malléable à résineux</t>
  </si>
  <si>
    <t>Attache ta Tuque</t>
  </si>
  <si>
    <t>Diesel</t>
  </si>
  <si>
    <t>brun clair à brun foncé</t>
  </si>
  <si>
    <t>malléable</t>
  </si>
  <si>
    <t>Balle de Hash Biologique</t>
  </si>
  <si>
    <t>Brun clair à brun foncé</t>
  </si>
  <si>
    <t>Blond à brun clair</t>
  </si>
  <si>
    <t>Friable</t>
  </si>
  <si>
    <t>Bon Vieux Hash</t>
  </si>
  <si>
    <t>Moufette</t>
  </si>
  <si>
    <t>Dérivés</t>
  </si>
  <si>
    <t>Boule de Laine</t>
  </si>
  <si>
    <t>Brique de Haschich</t>
  </si>
  <si>
    <t>Canna Farms</t>
  </si>
  <si>
    <t>Bubble Crumble</t>
  </si>
  <si>
    <t>Chillum</t>
  </si>
  <si>
    <t>Verdâtre à brun</t>
  </si>
  <si>
    <t>Bubble Hash</t>
  </si>
  <si>
    <t>Carré de Hasch Lemon Haze</t>
  </si>
  <si>
    <t>Carré de Hasch MK Ultra</t>
  </si>
  <si>
    <t>Choix du Nord</t>
  </si>
  <si>
    <t>Citrique Électrique</t>
  </si>
  <si>
    <t>ShredX Rip Strip Hash</t>
  </si>
  <si>
    <t>Malléable</t>
  </si>
  <si>
    <t>Crumbled Lime Style Pressé</t>
  </si>
  <si>
    <t>dur à friable</t>
  </si>
  <si>
    <t>Dans ma Bulle</t>
  </si>
  <si>
    <t>Bzam</t>
  </si>
  <si>
    <t>Drip N' Jiggle Old School</t>
  </si>
  <si>
    <t>Dry Sift Hash</t>
  </si>
  <si>
    <t>Eiffel</t>
  </si>
  <si>
    <t>R'Belle</t>
  </si>
  <si>
    <t>Équilibré</t>
  </si>
  <si>
    <t>Ghost Train Haze</t>
  </si>
  <si>
    <t>Ginger Fizz</t>
  </si>
  <si>
    <t>Retro Haze</t>
  </si>
  <si>
    <t>Grand Daddy Purps Temple Ball</t>
  </si>
  <si>
    <t>Grand Royal Hash</t>
  </si>
  <si>
    <t>Grand Royal</t>
  </si>
  <si>
    <t>H</t>
  </si>
  <si>
    <t>Kush Cookies</t>
  </si>
  <si>
    <t>ICM Fogo</t>
  </si>
  <si>
    <t>Dur à friable</t>
  </si>
  <si>
    <t>H19 Old School</t>
  </si>
  <si>
    <t>H29 Old School</t>
  </si>
  <si>
    <t>Brun clair à Brun foncé</t>
  </si>
  <si>
    <t>H4 Old School</t>
  </si>
  <si>
    <t>Hachisch Afghan équilibré</t>
  </si>
  <si>
    <t>Hasch Atlantide</t>
  </si>
  <si>
    <t>All Kush 47</t>
  </si>
  <si>
    <t>Hasch de Raisins</t>
  </si>
  <si>
    <t>Grape Galena</t>
  </si>
  <si>
    <t>Be Humble.</t>
  </si>
  <si>
    <t>Hasch de Zsweet</t>
  </si>
  <si>
    <t>Zsweet Insanity</t>
  </si>
  <si>
    <t>5 Points Cannabis</t>
  </si>
  <si>
    <t>Hasch Great White Shark</t>
  </si>
  <si>
    <t>Great White Shark</t>
  </si>
  <si>
    <t>Hasch Pink Kush</t>
  </si>
  <si>
    <t>Haschich (Promenade)</t>
  </si>
  <si>
    <t>Haschich Afghan Noir</t>
  </si>
  <si>
    <t>Tremblant Cannabis</t>
  </si>
  <si>
    <t>Haschich de CBD</t>
  </si>
  <si>
    <t>Haschich Indica</t>
  </si>
  <si>
    <t>Haschich Libanais</t>
  </si>
  <si>
    <t>Haschich Mélangé</t>
  </si>
  <si>
    <t>Haschich Noir</t>
  </si>
  <si>
    <t>Verse Concentrates</t>
  </si>
  <si>
    <t>Haschich Pressé</t>
  </si>
  <si>
    <t>Wô Là par Tremblant Hasch</t>
  </si>
  <si>
    <t>Haschich Pressé Harmonieux</t>
  </si>
  <si>
    <t>Haschich Sativa Rétro</t>
  </si>
  <si>
    <t>Brun Foncé</t>
  </si>
  <si>
    <t>Souple et malléable</t>
  </si>
  <si>
    <t>Haschich Sommet Alpin</t>
  </si>
  <si>
    <t>Haschish</t>
  </si>
  <si>
    <t>Apricot Kush</t>
  </si>
  <si>
    <t>Haschtag CBD</t>
  </si>
  <si>
    <t>Haschtag Classique</t>
  </si>
  <si>
    <t>Haschtag Hash de Noé</t>
  </si>
  <si>
    <t>Haschtag Hash de Rosine</t>
  </si>
  <si>
    <t>Hash</t>
  </si>
  <si>
    <t>Hash #1 (1g)</t>
  </si>
  <si>
    <t>Hash #1 (2g)</t>
  </si>
  <si>
    <t>Hash Fût de Chêne</t>
  </si>
  <si>
    <t>Hash Temple Ball</t>
  </si>
  <si>
    <t>Hashish Tremblant</t>
  </si>
  <si>
    <t>Ice Water Hash</t>
  </si>
  <si>
    <t>Jean Guy Temple Ball Hash</t>
  </si>
  <si>
    <t>La Libanaise</t>
  </si>
  <si>
    <t>La Marocaine</t>
  </si>
  <si>
    <t>La Marocaine (3)</t>
  </si>
  <si>
    <t>La Népalaise</t>
  </si>
  <si>
    <t>Le Citral</t>
  </si>
  <si>
    <t>Critical Orange Punch</t>
  </si>
  <si>
    <t>Le Kush X</t>
  </si>
  <si>
    <t>Louvre</t>
  </si>
  <si>
    <t>Mangue</t>
  </si>
  <si>
    <t>Hashtisan</t>
  </si>
  <si>
    <t>Marrakech Gold Biologique</t>
  </si>
  <si>
    <t>Mazar Sharif</t>
  </si>
  <si>
    <t>Koffee</t>
  </si>
  <si>
    <t>Moitié-Moitié</t>
  </si>
  <si>
    <t>Orange Special Hill</t>
  </si>
  <si>
    <t>OG Hawaïenne</t>
  </si>
  <si>
    <t>Pineapple Express</t>
  </si>
  <si>
    <t>Old School Hash</t>
  </si>
  <si>
    <t>Ono Onyx</t>
  </si>
  <si>
    <t>Ono</t>
  </si>
  <si>
    <t>Origine Haschich</t>
  </si>
  <si>
    <t>Mandarin Cherry</t>
  </si>
  <si>
    <t>La Voute</t>
  </si>
  <si>
    <t>Origine Haschich (2g)</t>
  </si>
  <si>
    <t>OS.Hash</t>
  </si>
  <si>
    <t>OS.HASH Mélange Indica 2g</t>
  </si>
  <si>
    <t>OS.HASH Mélange Indica 4g</t>
  </si>
  <si>
    <t>4 g</t>
  </si>
  <si>
    <t>OS.HASH Mélange Sativa</t>
  </si>
  <si>
    <t>Pomme Verte</t>
  </si>
  <si>
    <t>Apple Toffee</t>
  </si>
  <si>
    <t>P'tit Haschich</t>
  </si>
  <si>
    <t>P'tite Pof</t>
  </si>
  <si>
    <t>QC Hash</t>
  </si>
  <si>
    <t>Kizos</t>
  </si>
  <si>
    <t>Sage N' Sour Haschich</t>
  </si>
  <si>
    <t>Sage n Sour</t>
  </si>
  <si>
    <t>MTL Cannabis</t>
  </si>
  <si>
    <t>Slapz Ice Water Hash</t>
  </si>
  <si>
    <t>Style 1980</t>
  </si>
  <si>
    <t>Style Afghan</t>
  </si>
  <si>
    <t>Rotation de Kush</t>
  </si>
  <si>
    <t>Tire-Toi une Bûche</t>
  </si>
  <si>
    <t>Chemdawg OG</t>
  </si>
  <si>
    <t>Kiefs</t>
  </si>
  <si>
    <t>code</t>
  </si>
  <si>
    <t>BC Kief</t>
  </si>
  <si>
    <t>Kief</t>
  </si>
  <si>
    <t>Kief #1</t>
  </si>
  <si>
    <t>Kief #2</t>
  </si>
  <si>
    <t>OS.Kief Mélange</t>
  </si>
  <si>
    <t>Sour Kush</t>
  </si>
  <si>
    <t>Clair De Lune</t>
  </si>
  <si>
    <t>Mouffette</t>
  </si>
  <si>
    <t>Fleurs et Joints Infusées</t>
  </si>
  <si>
    <t>Arômes4</t>
  </si>
  <si>
    <t>Arômes3</t>
  </si>
  <si>
    <t>composante</t>
  </si>
  <si>
    <t>Blissed</t>
  </si>
  <si>
    <t>3 x 0,5 g</t>
  </si>
  <si>
    <t>4 x 0,25 g</t>
  </si>
  <si>
    <t>Animal Face</t>
  </si>
  <si>
    <t>1 x 1 g</t>
  </si>
  <si>
    <t>Bouquet Infusé (Kief)</t>
  </si>
  <si>
    <t>820939001516</t>
  </si>
  <si>
    <t>Tropic GSC</t>
  </si>
  <si>
    <t>Razzilicious</t>
  </si>
  <si>
    <t>Bouquet Infusé Fruits Rouges</t>
  </si>
  <si>
    <t>Tiger Blood</t>
  </si>
  <si>
    <t>Peach Ringz</t>
  </si>
  <si>
    <t>Capitaine Kush</t>
  </si>
  <si>
    <t>Linée de Kush en Rotation</t>
  </si>
  <si>
    <t>ShredX Heavies</t>
  </si>
  <si>
    <t>Flambeau d'Or</t>
  </si>
  <si>
    <t>827885009535</t>
  </si>
  <si>
    <t>4 x 0,5 g</t>
  </si>
  <si>
    <t>Gelato Sherb</t>
  </si>
  <si>
    <t xml:space="preserve">Floral </t>
  </si>
  <si>
    <t>Gorilla 69 Infusé</t>
  </si>
  <si>
    <t>Zootd</t>
  </si>
  <si>
    <t>Ice Cream</t>
  </si>
  <si>
    <t>2 x 0,5 g</t>
  </si>
  <si>
    <t>Joint Infusé à la Rosine</t>
  </si>
  <si>
    <t>Joints de Haschich Cherry Lime</t>
  </si>
  <si>
    <t>Edison</t>
  </si>
  <si>
    <t>Joints Infusés Cerise Douce</t>
  </si>
  <si>
    <t>694144013493</t>
  </si>
  <si>
    <t>Joints Infusés Kenta-Kush</t>
  </si>
  <si>
    <t>Sky Cuddler Kush</t>
  </si>
  <si>
    <t>Joints Infusés Starwalker Kush</t>
  </si>
  <si>
    <t>694144013516</t>
  </si>
  <si>
    <t>La Roche</t>
  </si>
  <si>
    <t>Banana Mac</t>
  </si>
  <si>
    <t>Fromage</t>
  </si>
  <si>
    <t>Le Serpent Legendary Larry</t>
  </si>
  <si>
    <t>Le Snake Habibi Kush</t>
  </si>
  <si>
    <t>Le Snake Skunk Master Flex</t>
  </si>
  <si>
    <t>1 x 0,5 g</t>
  </si>
  <si>
    <t>1 x 0,7 g</t>
  </si>
  <si>
    <t>Préroulé Infusé + Isolat</t>
  </si>
  <si>
    <t>Fleurs + Distillat + Isolat</t>
  </si>
  <si>
    <t>Préroulés Infusés CBD+</t>
  </si>
  <si>
    <t>Les Essentiels Jour</t>
  </si>
  <si>
    <t>Préroulés Infusés Melon Haze</t>
  </si>
  <si>
    <t>Melon Haze</t>
  </si>
  <si>
    <t>Zest Cannabis</t>
  </si>
  <si>
    <t>Préroulés infusés THC-CBD+</t>
  </si>
  <si>
    <t>Les Essentiels Nuit</t>
  </si>
  <si>
    <t>Roudoux</t>
  </si>
  <si>
    <t>Charlebois CBD</t>
  </si>
  <si>
    <t>Pinneaple Express</t>
  </si>
  <si>
    <t>The Loud Plug</t>
  </si>
  <si>
    <t>Super Sativa x IC Sandwiches</t>
  </si>
  <si>
    <t>Tenzo</t>
  </si>
  <si>
    <t>CONCENTRÉS</t>
  </si>
  <si>
    <t>---</t>
  </si>
  <si>
    <t>Dabs de Luxe</t>
  </si>
  <si>
    <t>Roilty</t>
  </si>
  <si>
    <t>Sour Orange Diesel</t>
  </si>
  <si>
    <t xml:space="preserve">Greyscales </t>
  </si>
  <si>
    <t>Gelato Mint</t>
  </si>
  <si>
    <t>Lemon Haze Résine Fraîche (Sativa)</t>
  </si>
  <si>
    <t>Lemon haze</t>
  </si>
  <si>
    <t>Hash #1 (1g) - Mélange</t>
  </si>
  <si>
    <t>FLEURS 1g | 7g</t>
  </si>
  <si>
    <t>Duo Sorbet Cerise et Lime</t>
  </si>
  <si>
    <t>Cheers à Lise</t>
  </si>
  <si>
    <t>2 x 3,5g</t>
  </si>
  <si>
    <t>Duplex</t>
  </si>
  <si>
    <t>Variétés Mixtes</t>
  </si>
  <si>
    <t>Colonne2</t>
  </si>
  <si>
    <t>Colonne3</t>
  </si>
  <si>
    <t>Colonne4</t>
  </si>
  <si>
    <t>Colonne5</t>
  </si>
  <si>
    <t>Colonne6</t>
  </si>
  <si>
    <t>L'Bon Voisin - Alien Cookies (Sativa)</t>
  </si>
  <si>
    <t>Drip N' Jiggle Grind (Moulu) - Drip N' Jiggle</t>
  </si>
  <si>
    <t>Nugz Hybride - En rotation</t>
  </si>
  <si>
    <t>RRW - Red Red Wine</t>
  </si>
  <si>
    <t>Origine Haschich - Mandarin Cherry</t>
  </si>
  <si>
    <t>Hashish Tremblant - Mélange (Indica)</t>
  </si>
  <si>
    <t>Joints de Haschich</t>
  </si>
  <si>
    <t>7Acres</t>
  </si>
  <si>
    <t>2 x 0,5g</t>
  </si>
  <si>
    <t>Rouleau Haschich</t>
  </si>
  <si>
    <t>L' Joe Louis - En rotation</t>
  </si>
  <si>
    <t>Duo Sorbet Cerise et Lime - Variétés Mixtes (Hybride)</t>
  </si>
  <si>
    <t>Fleurs + Hash à glace</t>
  </si>
  <si>
    <t>Duplex - Variétés Mixtes (Hybride)</t>
  </si>
  <si>
    <t>27-28%</t>
  </si>
  <si>
    <t>Tropical and Twisted (Moulu) - Mélange</t>
  </si>
  <si>
    <t>Lab 101 - En rotation</t>
  </si>
  <si>
    <t>Haschich Libanais - Mélange (Sativa)</t>
  </si>
  <si>
    <t>OS.130 - En rotation</t>
  </si>
  <si>
    <t>Dame des Baies (Sativa)</t>
  </si>
  <si>
    <t>Style Afghan - Rotation de Kush (Indica)</t>
  </si>
  <si>
    <t>Symphonie - En rotation</t>
  </si>
  <si>
    <t>Trois Fromages (Moulu) - Mélange</t>
  </si>
  <si>
    <t>Middelburg Hybride - En rotation</t>
  </si>
  <si>
    <t>Mélange Indica - En rotation</t>
  </si>
  <si>
    <t>Gros Plaisirs - En rotation</t>
  </si>
  <si>
    <t>Durban Gorilla Bio - Durban Gorilla</t>
  </si>
  <si>
    <t>Dark Shadow Haze -  (Sativa)</t>
  </si>
  <si>
    <t>Vanilla Gelato - Vanilla Ice</t>
  </si>
  <si>
    <t>Hachisch Afghan équilibré - Mélange (Indica)</t>
  </si>
  <si>
    <t>20-22%</t>
  </si>
  <si>
    <t>Nugz Sativa - En rotation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</si>
</sst>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44" formatCode="_ * #,##0.00_)\ &quot;$&quot;_ ;_ * \(#,##0.00\)\ &quot;$&quot;_ ;_ * &quot;-&quot;??_)\ &quot;$&quot;_ ;_ @_ "/>
    <numFmt numFmtId="43" formatCode="_ * #,##0.00_)_ ;_ * \(#,##0.00\)_ ;_ * &quot;-&quot;??_)_ ;_ @_ "/>
    <numFmt numFmtId="164" formatCode="#,##0.00\ &quot;$&quot;"/>
    <numFmt numFmtId="165" formatCode="0.0"/>
    <numFmt numFmtId="166" formatCode="#,##0.00\ [$$-40C]"/>
    <numFmt numFmtId="167" formatCode="#,##0.00\ [$$-C0C];\(#,##0.00[$$-C0C]\)"/>
  </numFmts>
  <fonts count="5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Gilroy ExtraBold"/>
      <family val="3"/>
    </font>
    <font>
      <b/>
      <sz val="13"/>
      <color theme="1"/>
      <name val="Gilroy ExtraBold"/>
      <family val="3"/>
    </font>
    <font>
      <b/>
      <sz val="13"/>
      <name val="Gilroy ExtraBold"/>
      <family val="3"/>
    </font>
    <font>
      <b/>
      <sz val="12"/>
      <color theme="1"/>
      <name val="Gilroy ExtraBold"/>
      <family val="3"/>
    </font>
    <font>
      <b/>
      <sz val="14"/>
      <color theme="1"/>
      <name val="Gilroy ExtraBold"/>
      <family val="3"/>
    </font>
    <font>
      <b/>
      <sz val="26"/>
      <color theme="0"/>
      <name val="Gilroy ExtraBold"/>
      <family val="3"/>
    </font>
    <font>
      <sz val="11"/>
      <color theme="1"/>
      <name val="Gilroy ExtraBold"/>
      <family val="3"/>
    </font>
    <font>
      <sz val="13"/>
      <color theme="1"/>
      <name val="Arial"/>
      <family val="2"/>
    </font>
    <font>
      <b/>
      <sz val="14"/>
      <name val="Gilroy ExtraBold"/>
      <family val="3"/>
    </font>
    <font>
      <b/>
      <sz val="16"/>
      <color theme="1"/>
      <name val="Gilroy ExtraBold"/>
      <family val="3"/>
    </font>
    <font>
      <sz val="14"/>
      <color theme="1"/>
      <name val="Gilroy ExtraBold"/>
      <family val="3"/>
    </font>
    <font>
      <b/>
      <sz val="18"/>
      <color theme="1"/>
      <name val="Gilroy ExtraBold"/>
      <family val="3"/>
    </font>
    <font>
      <b/>
      <sz val="13"/>
      <color theme="1"/>
      <name val="Century Gothic"/>
      <family val="2"/>
    </font>
    <font>
      <b/>
      <sz val="13"/>
      <name val="Century Gothic"/>
      <family val="2"/>
    </font>
    <font>
      <b/>
      <sz val="12"/>
      <color theme="1"/>
      <name val="Century Gothic"/>
      <family val="2"/>
    </font>
    <font>
      <sz val="13"/>
      <name val="Arial"/>
      <family val="2"/>
    </font>
    <font>
      <b/>
      <sz val="12"/>
      <color theme="1"/>
      <name val="Calibri"/>
      <family val="2"/>
      <scheme val="minor"/>
    </font>
    <font>
      <b/>
      <sz val="26"/>
      <color theme="0"/>
      <name val="Century Gothic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6" tint="-0.249977111117893"/>
      <name val="Tahoma"/>
      <family val="2"/>
    </font>
    <font>
      <b/>
      <sz val="10"/>
      <color theme="6" tint="-0.249977111117893"/>
      <name val="Tahoma"/>
      <family val="2"/>
    </font>
    <font>
      <sz val="24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10"/>
      <color theme="0"/>
      <name val="Tahoma"/>
      <family val="2"/>
    </font>
    <font>
      <sz val="12"/>
      <color theme="1"/>
      <name val="Gilroy Medium"/>
      <family val="3"/>
    </font>
    <font>
      <sz val="13"/>
      <color theme="1"/>
      <name val="Gilroy Medium"/>
      <family val="3"/>
    </font>
    <font>
      <sz val="8"/>
      <name val="Calibri"/>
      <family val="2"/>
      <scheme val="minor"/>
    </font>
    <font>
      <b/>
      <sz val="10"/>
      <name val="Tahoma"/>
      <family val="2"/>
    </font>
    <font>
      <b/>
      <sz val="11"/>
      <name val="Tahoma"/>
      <family val="2"/>
    </font>
    <font>
      <sz val="12"/>
      <color theme="1"/>
      <name val="Gilroy ExtraBold"/>
      <family val="3"/>
    </font>
    <font>
      <sz val="18"/>
      <color theme="1"/>
      <name val="Gilroy ExtraBold"/>
      <family val="3"/>
    </font>
    <font>
      <sz val="16"/>
      <color theme="1"/>
      <name val="Gilroy ExtraBold"/>
      <family val="3"/>
    </font>
    <font>
      <b/>
      <sz val="18"/>
      <name val="Gilroy ExtraBold"/>
      <family val="3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Times New Roman"/>
      <family val="1"/>
    </font>
    <font>
      <sz val="11"/>
      <color theme="1"/>
      <name val="Courier New"/>
      <family val="3"/>
    </font>
    <font>
      <vertAlign val="superscript"/>
      <sz val="11"/>
      <color theme="1"/>
      <name val="Calibri"/>
      <family val="2"/>
      <scheme val="minor"/>
    </font>
    <font>
      <sz val="36"/>
      <color theme="1"/>
      <name val="Gilroy"/>
      <family val="3"/>
    </font>
    <font>
      <sz val="7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8"/>
      <color rgb="FF454545"/>
      <name val="Arial"/>
      <family val="2"/>
    </font>
    <font>
      <sz val="11"/>
      <color rgb="FF454545"/>
      <name val="Calibri"/>
      <family val="2"/>
      <scheme val="minor"/>
    </font>
    <font>
      <sz val="10"/>
      <name val="Tahoma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rgb="FF454545"/>
      <name val="Calibri"/>
      <family val="2"/>
      <scheme val="minor"/>
    </font>
    <font>
      <b/>
      <sz val="22"/>
      <color theme="0"/>
      <name val="Gilroy ExtraBold"/>
      <family val="3"/>
    </font>
    <font>
      <sz val="8"/>
      <color theme="1"/>
      <name val="Arial"/>
      <family val="2"/>
    </font>
    <font>
      <sz val="11"/>
      <color rgb="FF686868"/>
      <name val="Segoe U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46A38"/>
        <bgColor indexed="64"/>
      </patternFill>
    </fill>
    <fill>
      <patternFill patternType="solid">
        <fgColor theme="6"/>
        <bgColor theme="6"/>
      </patternFill>
    </fill>
  </fills>
  <borders count="8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theme="9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theme="9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theme="9"/>
      </left>
      <right/>
      <top/>
      <bottom style="thick">
        <color rgb="FF00B050"/>
      </bottom>
      <diagonal/>
    </border>
    <border>
      <left/>
      <right style="thick">
        <color theme="9"/>
      </right>
      <top/>
      <bottom style="thick">
        <color indexed="64"/>
      </bottom>
      <diagonal/>
    </border>
    <border>
      <left style="thick">
        <color theme="9"/>
      </left>
      <right style="thick">
        <color theme="9"/>
      </right>
      <top style="thick">
        <color theme="9"/>
      </top>
      <bottom style="thick">
        <color rgb="FF00B05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6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/>
      <diagonal/>
    </border>
    <border>
      <left style="medium">
        <color rgb="FFE2E2E2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theme="6" tint="0.39997558519241921"/>
      </left>
      <right/>
      <top/>
      <bottom style="thin">
        <color theme="6" tint="0.39997558519241921"/>
      </bottom>
      <diagonal/>
    </border>
    <border>
      <left/>
      <right/>
      <top/>
      <bottom style="thin">
        <color theme="6" tint="0.39997558519241921"/>
      </bottom>
      <diagonal/>
    </border>
    <border>
      <left/>
      <right style="thin">
        <color theme="6" tint="0.39997558519241921"/>
      </right>
      <top/>
      <bottom style="thin">
        <color theme="6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6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52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9" fontId="4" fillId="0" borderId="0" xfId="2" applyFont="1" applyFill="1" applyBorder="1" applyAlignment="1">
      <alignment horizontal="center"/>
    </xf>
    <xf numFmtId="0" fontId="4" fillId="0" borderId="0" xfId="0" applyFont="1"/>
    <xf numFmtId="0" fontId="10" fillId="0" borderId="5" xfId="0" applyFont="1" applyBorder="1" applyAlignment="1">
      <alignment horizontal="center"/>
    </xf>
    <xf numFmtId="0" fontId="13" fillId="0" borderId="0" xfId="0" applyFont="1" applyAlignment="1">
      <alignment vertical="center"/>
    </xf>
    <xf numFmtId="9" fontId="7" fillId="0" borderId="0" xfId="0" applyNumberFormat="1" applyFont="1" applyAlignment="1">
      <alignment horizontal="center" vertical="center"/>
    </xf>
    <xf numFmtId="9" fontId="7" fillId="0" borderId="2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2" fontId="0" fillId="0" borderId="0" xfId="0" applyNumberFormat="1" applyAlignment="1">
      <alignment horizontal="center"/>
    </xf>
    <xf numFmtId="0" fontId="0" fillId="5" borderId="0" xfId="0" applyFill="1"/>
    <xf numFmtId="165" fontId="15" fillId="0" borderId="2" xfId="2" applyNumberFormat="1" applyFont="1" applyFill="1" applyBorder="1" applyAlignment="1">
      <alignment horizontal="center"/>
    </xf>
    <xf numFmtId="164" fontId="16" fillId="0" borderId="2" xfId="1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5" fillId="0" borderId="29" xfId="0" applyFont="1" applyBorder="1" applyAlignment="1">
      <alignment horizontal="center"/>
    </xf>
    <xf numFmtId="0" fontId="15" fillId="0" borderId="3" xfId="0" applyFont="1" applyBorder="1"/>
    <xf numFmtId="165" fontId="15" fillId="2" borderId="1" xfId="2" applyNumberFormat="1" applyFont="1" applyFill="1" applyBorder="1" applyAlignment="1">
      <alignment horizontal="center"/>
    </xf>
    <xf numFmtId="165" fontId="15" fillId="0" borderId="5" xfId="2" applyNumberFormat="1" applyFont="1" applyFill="1" applyBorder="1" applyAlignment="1">
      <alignment horizontal="center"/>
    </xf>
    <xf numFmtId="164" fontId="16" fillId="0" borderId="5" xfId="1" applyNumberFormat="1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5" fillId="0" borderId="6" xfId="0" applyFont="1" applyBorder="1"/>
    <xf numFmtId="165" fontId="15" fillId="2" borderId="4" xfId="2" applyNumberFormat="1" applyFont="1" applyFill="1" applyBorder="1" applyAlignment="1">
      <alignment horizontal="center"/>
    </xf>
    <xf numFmtId="9" fontId="15" fillId="0" borderId="5" xfId="2" applyFont="1" applyFill="1" applyBorder="1" applyAlignment="1">
      <alignment horizontal="center"/>
    </xf>
    <xf numFmtId="9" fontId="15" fillId="2" borderId="4" xfId="2" applyFont="1" applyFill="1" applyBorder="1" applyAlignment="1">
      <alignment horizontal="center"/>
    </xf>
    <xf numFmtId="165" fontId="15" fillId="0" borderId="0" xfId="2" applyNumberFormat="1" applyFont="1" applyFill="1" applyBorder="1" applyAlignment="1">
      <alignment horizontal="center"/>
    </xf>
    <xf numFmtId="164" fontId="16" fillId="0" borderId="0" xfId="1" applyNumberFormat="1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5" fillId="0" borderId="0" xfId="0" applyFont="1"/>
    <xf numFmtId="165" fontId="15" fillId="2" borderId="18" xfId="2" applyNumberFormat="1" applyFont="1" applyFill="1" applyBorder="1" applyAlignment="1">
      <alignment horizontal="center"/>
    </xf>
    <xf numFmtId="165" fontId="15" fillId="0" borderId="17" xfId="2" applyNumberFormat="1" applyFont="1" applyFill="1" applyBorder="1" applyAlignment="1">
      <alignment horizontal="center"/>
    </xf>
    <xf numFmtId="164" fontId="16" fillId="0" borderId="17" xfId="1" applyNumberFormat="1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4" borderId="36" xfId="0" applyNumberFormat="1" applyFont="1" applyFill="1" applyBorder="1" applyAlignment="1">
      <alignment horizontal="center"/>
    </xf>
    <xf numFmtId="2" fontId="4" fillId="4" borderId="37" xfId="0" applyNumberFormat="1" applyFont="1" applyFill="1" applyBorder="1" applyAlignment="1">
      <alignment horizontal="center"/>
    </xf>
    <xf numFmtId="164" fontId="4" fillId="4" borderId="37" xfId="1" applyNumberFormat="1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/>
    </xf>
    <xf numFmtId="0" fontId="4" fillId="4" borderId="37" xfId="0" applyFont="1" applyFill="1" applyBorder="1" applyAlignment="1">
      <alignment horizontal="center" vertical="center"/>
    </xf>
    <xf numFmtId="2" fontId="15" fillId="2" borderId="0" xfId="0" applyNumberFormat="1" applyFont="1" applyFill="1" applyAlignment="1">
      <alignment horizontal="center"/>
    </xf>
    <xf numFmtId="8" fontId="16" fillId="2" borderId="0" xfId="1" applyNumberFormat="1" applyFont="1" applyFill="1" applyBorder="1" applyAlignment="1"/>
    <xf numFmtId="0" fontId="15" fillId="2" borderId="0" xfId="0" applyFont="1" applyFill="1" applyAlignment="1">
      <alignment horizontal="center"/>
    </xf>
    <xf numFmtId="0" fontId="15" fillId="2" borderId="0" xfId="0" applyFont="1" applyFill="1" applyAlignment="1">
      <alignment horizontal="center" vertical="center"/>
    </xf>
    <xf numFmtId="0" fontId="15" fillId="2" borderId="0" xfId="0" applyFont="1" applyFill="1"/>
    <xf numFmtId="165" fontId="15" fillId="0" borderId="4" xfId="2" applyNumberFormat="1" applyFont="1" applyFill="1" applyBorder="1" applyAlignment="1">
      <alignment horizontal="center"/>
    </xf>
    <xf numFmtId="44" fontId="16" fillId="0" borderId="5" xfId="1" applyFont="1" applyBorder="1" applyAlignment="1"/>
    <xf numFmtId="165" fontId="15" fillId="0" borderId="18" xfId="2" applyNumberFormat="1" applyFont="1" applyFill="1" applyBorder="1" applyAlignment="1">
      <alignment horizontal="center"/>
    </xf>
    <xf numFmtId="44" fontId="16" fillId="0" borderId="17" xfId="1" applyFont="1" applyBorder="1" applyAlignment="1"/>
    <xf numFmtId="2" fontId="4" fillId="4" borderId="10" xfId="0" applyNumberFormat="1" applyFont="1" applyFill="1" applyBorder="1" applyAlignment="1">
      <alignment horizontal="center"/>
    </xf>
    <xf numFmtId="2" fontId="4" fillId="4" borderId="11" xfId="0" applyNumberFormat="1" applyFont="1" applyFill="1" applyBorder="1" applyAlignment="1">
      <alignment horizontal="center"/>
    </xf>
    <xf numFmtId="44" fontId="4" fillId="4" borderId="11" xfId="1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5" fillId="0" borderId="0" xfId="2" applyNumberFormat="1" applyFont="1" applyFill="1" applyBorder="1" applyAlignment="1">
      <alignment horizontal="center"/>
    </xf>
    <xf numFmtId="2" fontId="15" fillId="2" borderId="0" xfId="2" applyNumberFormat="1" applyFont="1" applyFill="1" applyBorder="1" applyAlignment="1">
      <alignment horizontal="center"/>
    </xf>
    <xf numFmtId="165" fontId="15" fillId="2" borderId="0" xfId="2" applyNumberFormat="1" applyFont="1" applyFill="1" applyBorder="1" applyAlignment="1">
      <alignment horizontal="center"/>
    </xf>
    <xf numFmtId="165" fontId="15" fillId="2" borderId="27" xfId="2" applyNumberFormat="1" applyFont="1" applyFill="1" applyBorder="1" applyAlignment="1">
      <alignment horizontal="center"/>
    </xf>
    <xf numFmtId="44" fontId="15" fillId="2" borderId="27" xfId="1" applyFont="1" applyFill="1" applyBorder="1" applyAlignment="1" applyProtection="1">
      <alignment horizontal="center"/>
      <protection hidden="1"/>
    </xf>
    <xf numFmtId="0" fontId="15" fillId="2" borderId="27" xfId="0" applyFont="1" applyFill="1" applyBorder="1" applyAlignment="1">
      <alignment horizontal="center"/>
    </xf>
    <xf numFmtId="0" fontId="15" fillId="0" borderId="27" xfId="0" applyFont="1" applyBorder="1"/>
    <xf numFmtId="165" fontId="10" fillId="2" borderId="1" xfId="2" applyNumberFormat="1" applyFont="1" applyFill="1" applyBorder="1" applyAlignment="1">
      <alignment horizontal="center"/>
    </xf>
    <xf numFmtId="165" fontId="10" fillId="2" borderId="2" xfId="2" applyNumberFormat="1" applyFont="1" applyFill="1" applyBorder="1" applyAlignment="1">
      <alignment horizontal="center"/>
    </xf>
    <xf numFmtId="44" fontId="10" fillId="2" borderId="2" xfId="1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>
      <alignment horizontal="center"/>
    </xf>
    <xf numFmtId="165" fontId="10" fillId="2" borderId="4" xfId="2" applyNumberFormat="1" applyFont="1" applyFill="1" applyBorder="1" applyAlignment="1">
      <alignment horizontal="center"/>
    </xf>
    <xf numFmtId="165" fontId="10" fillId="2" borderId="5" xfId="2" applyNumberFormat="1" applyFont="1" applyFill="1" applyBorder="1" applyAlignment="1">
      <alignment horizontal="center"/>
    </xf>
    <xf numFmtId="44" fontId="10" fillId="2" borderId="5" xfId="1" applyFont="1" applyFill="1" applyBorder="1" applyAlignment="1" applyProtection="1">
      <alignment horizontal="center"/>
      <protection hidden="1"/>
    </xf>
    <xf numFmtId="0" fontId="10" fillId="2" borderId="5" xfId="0" applyFont="1" applyFill="1" applyBorder="1" applyAlignment="1">
      <alignment horizontal="center"/>
    </xf>
    <xf numFmtId="2" fontId="15" fillId="0" borderId="0" xfId="0" applyNumberFormat="1" applyFont="1" applyAlignment="1">
      <alignment horizontal="center"/>
    </xf>
    <xf numFmtId="2" fontId="10" fillId="0" borderId="4" xfId="0" applyNumberFormat="1" applyFont="1" applyBorder="1" applyAlignment="1">
      <alignment horizontal="center"/>
    </xf>
    <xf numFmtId="165" fontId="10" fillId="0" borderId="5" xfId="0" applyNumberFormat="1" applyFont="1" applyBorder="1" applyAlignment="1">
      <alignment horizontal="center"/>
    </xf>
    <xf numFmtId="165" fontId="16" fillId="0" borderId="0" xfId="2" applyNumberFormat="1" applyFont="1" applyFill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165" fontId="18" fillId="0" borderId="5" xfId="2" applyNumberFormat="1" applyFont="1" applyBorder="1" applyAlignment="1">
      <alignment horizontal="center"/>
    </xf>
    <xf numFmtId="44" fontId="18" fillId="0" borderId="5" xfId="1" applyFon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10" fillId="0" borderId="5" xfId="2" applyNumberFormat="1" applyFont="1" applyBorder="1" applyAlignment="1">
      <alignment horizontal="center"/>
    </xf>
    <xf numFmtId="165" fontId="10" fillId="0" borderId="18" xfId="2" applyNumberFormat="1" applyFont="1" applyBorder="1" applyAlignment="1">
      <alignment horizontal="center"/>
    </xf>
    <xf numFmtId="165" fontId="10" fillId="0" borderId="17" xfId="2" applyNumberFormat="1" applyFont="1" applyBorder="1" applyAlignment="1">
      <alignment horizontal="center"/>
    </xf>
    <xf numFmtId="44" fontId="18" fillId="0" borderId="17" xfId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2" fontId="4" fillId="7" borderId="36" xfId="0" applyNumberFormat="1" applyFont="1" applyFill="1" applyBorder="1" applyAlignment="1">
      <alignment horizontal="center"/>
    </xf>
    <xf numFmtId="2" fontId="4" fillId="7" borderId="38" xfId="0" applyNumberFormat="1" applyFont="1" applyFill="1" applyBorder="1" applyAlignment="1">
      <alignment horizontal="center"/>
    </xf>
    <xf numFmtId="44" fontId="4" fillId="7" borderId="38" xfId="1" applyFont="1" applyFill="1" applyBorder="1" applyAlignment="1">
      <alignment horizontal="center"/>
    </xf>
    <xf numFmtId="0" fontId="4" fillId="7" borderId="38" xfId="0" applyFont="1" applyFill="1" applyBorder="1" applyAlignment="1">
      <alignment horizontal="center"/>
    </xf>
    <xf numFmtId="0" fontId="4" fillId="7" borderId="38" xfId="0" applyFont="1" applyFill="1" applyBorder="1" applyAlignment="1">
      <alignment horizontal="center" vertical="center"/>
    </xf>
    <xf numFmtId="0" fontId="4" fillId="7" borderId="39" xfId="0" applyFont="1" applyFill="1" applyBorder="1" applyAlignment="1">
      <alignment horizontal="left"/>
    </xf>
    <xf numFmtId="0" fontId="4" fillId="7" borderId="23" xfId="0" applyFont="1" applyFill="1" applyBorder="1" applyAlignment="1">
      <alignment horizontal="left"/>
    </xf>
    <xf numFmtId="2" fontId="4" fillId="4" borderId="38" xfId="0" applyNumberFormat="1" applyFont="1" applyFill="1" applyBorder="1" applyAlignment="1">
      <alignment horizontal="center"/>
    </xf>
    <xf numFmtId="44" fontId="4" fillId="4" borderId="38" xfId="1" applyFont="1" applyFill="1" applyBorder="1" applyAlignment="1">
      <alignment horizontal="center"/>
    </xf>
    <xf numFmtId="0" fontId="4" fillId="4" borderId="38" xfId="0" applyFont="1" applyFill="1" applyBorder="1" applyAlignment="1">
      <alignment horizontal="center"/>
    </xf>
    <xf numFmtId="0" fontId="4" fillId="4" borderId="38" xfId="0" applyFont="1" applyFill="1" applyBorder="1" applyAlignment="1">
      <alignment horizontal="center" vertical="center"/>
    </xf>
    <xf numFmtId="0" fontId="20" fillId="0" borderId="0" xfId="0" applyFont="1"/>
    <xf numFmtId="165" fontId="15" fillId="0" borderId="0" xfId="0" applyNumberFormat="1" applyFont="1" applyAlignment="1">
      <alignment horizontal="center"/>
    </xf>
    <xf numFmtId="165" fontId="10" fillId="2" borderId="1" xfId="0" applyNumberFormat="1" applyFont="1" applyFill="1" applyBorder="1" applyAlignment="1">
      <alignment horizontal="center"/>
    </xf>
    <xf numFmtId="165" fontId="10" fillId="2" borderId="2" xfId="0" applyNumberFormat="1" applyFont="1" applyFill="1" applyBorder="1" applyAlignment="1">
      <alignment horizontal="center"/>
    </xf>
    <xf numFmtId="44" fontId="10" fillId="2" borderId="2" xfId="1" applyFont="1" applyFill="1" applyBorder="1" applyAlignment="1">
      <alignment horizontal="center"/>
    </xf>
    <xf numFmtId="165" fontId="10" fillId="2" borderId="4" xfId="0" applyNumberFormat="1" applyFont="1" applyFill="1" applyBorder="1" applyAlignment="1">
      <alignment horizontal="center"/>
    </xf>
    <xf numFmtId="165" fontId="10" fillId="2" borderId="5" xfId="0" applyNumberFormat="1" applyFont="1" applyFill="1" applyBorder="1" applyAlignment="1">
      <alignment horizontal="center"/>
    </xf>
    <xf numFmtId="44" fontId="10" fillId="2" borderId="5" xfId="1" applyFont="1" applyFill="1" applyBorder="1" applyAlignment="1">
      <alignment horizontal="center"/>
    </xf>
    <xf numFmtId="165" fontId="10" fillId="2" borderId="7" xfId="2" applyNumberFormat="1" applyFont="1" applyFill="1" applyBorder="1" applyAlignment="1">
      <alignment horizontal="center"/>
    </xf>
    <xf numFmtId="165" fontId="10" fillId="2" borderId="8" xfId="2" applyNumberFormat="1" applyFont="1" applyFill="1" applyBorder="1" applyAlignment="1">
      <alignment horizontal="center"/>
    </xf>
    <xf numFmtId="44" fontId="10" fillId="2" borderId="8" xfId="1" applyFont="1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2" fontId="5" fillId="0" borderId="0" xfId="0" applyNumberFormat="1" applyFont="1" applyAlignment="1">
      <alignment horizontal="center"/>
    </xf>
    <xf numFmtId="2" fontId="5" fillId="7" borderId="40" xfId="0" applyNumberFormat="1" applyFont="1" applyFill="1" applyBorder="1" applyAlignment="1">
      <alignment horizontal="center"/>
    </xf>
    <xf numFmtId="2" fontId="5" fillId="7" borderId="41" xfId="0" applyNumberFormat="1" applyFont="1" applyFill="1" applyBorder="1" applyAlignment="1">
      <alignment horizontal="center"/>
    </xf>
    <xf numFmtId="44" fontId="5" fillId="7" borderId="41" xfId="1" applyFont="1" applyFill="1" applyBorder="1" applyAlignment="1">
      <alignment horizontal="center"/>
    </xf>
    <xf numFmtId="0" fontId="5" fillId="7" borderId="41" xfId="0" applyFont="1" applyFill="1" applyBorder="1" applyAlignment="1">
      <alignment horizontal="center"/>
    </xf>
    <xf numFmtId="0" fontId="5" fillId="7" borderId="41" xfId="0" applyFont="1" applyFill="1" applyBorder="1" applyAlignment="1">
      <alignment horizontal="left"/>
    </xf>
    <xf numFmtId="0" fontId="5" fillId="7" borderId="42" xfId="0" applyFont="1" applyFill="1" applyBorder="1" applyAlignment="1">
      <alignment horizontal="left"/>
    </xf>
    <xf numFmtId="2" fontId="5" fillId="4" borderId="10" xfId="0" applyNumberFormat="1" applyFont="1" applyFill="1" applyBorder="1" applyAlignment="1">
      <alignment horizontal="center"/>
    </xf>
    <xf numFmtId="2" fontId="5" fillId="4" borderId="11" xfId="0" applyNumberFormat="1" applyFont="1" applyFill="1" applyBorder="1" applyAlignment="1">
      <alignment horizontal="center"/>
    </xf>
    <xf numFmtId="44" fontId="5" fillId="4" borderId="11" xfId="1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21" fillId="0" borderId="0" xfId="0" applyFont="1"/>
    <xf numFmtId="0" fontId="8" fillId="0" borderId="0" xfId="0" applyFont="1" applyAlignment="1">
      <alignment horizontal="center"/>
    </xf>
    <xf numFmtId="165" fontId="19" fillId="0" borderId="43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4" xfId="0" applyBorder="1" applyAlignment="1">
      <alignment vertical="center"/>
    </xf>
    <xf numFmtId="44" fontId="10" fillId="0" borderId="5" xfId="1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0" fillId="0" borderId="45" xfId="0" applyBorder="1" applyAlignment="1">
      <alignment vertical="center"/>
    </xf>
    <xf numFmtId="0" fontId="0" fillId="0" borderId="46" xfId="0" applyBorder="1" applyAlignment="1">
      <alignment vertical="center"/>
    </xf>
    <xf numFmtId="0" fontId="19" fillId="0" borderId="47" xfId="0" applyFon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65" fontId="18" fillId="0" borderId="18" xfId="2" applyNumberFormat="1" applyFont="1" applyBorder="1" applyAlignment="1">
      <alignment horizontal="center"/>
    </xf>
    <xf numFmtId="165" fontId="18" fillId="0" borderId="17" xfId="2" applyNumberFormat="1" applyFont="1" applyBorder="1" applyAlignment="1">
      <alignment horizontal="center"/>
    </xf>
    <xf numFmtId="44" fontId="10" fillId="0" borderId="17" xfId="1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2" fontId="4" fillId="7" borderId="37" xfId="0" applyNumberFormat="1" applyFont="1" applyFill="1" applyBorder="1" applyAlignment="1">
      <alignment horizontal="center"/>
    </xf>
    <xf numFmtId="44" fontId="4" fillId="7" borderId="37" xfId="1" applyFont="1" applyFill="1" applyBorder="1" applyAlignment="1">
      <alignment horizontal="center"/>
    </xf>
    <xf numFmtId="0" fontId="4" fillId="7" borderId="37" xfId="0" applyFont="1" applyFill="1" applyBorder="1" applyAlignment="1">
      <alignment horizontal="center"/>
    </xf>
    <xf numFmtId="0" fontId="4" fillId="7" borderId="37" xfId="0" applyFont="1" applyFill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4" fontId="4" fillId="4" borderId="37" xfId="1" applyFont="1" applyFill="1" applyBorder="1" applyAlignment="1">
      <alignment horizontal="center"/>
    </xf>
    <xf numFmtId="0" fontId="20" fillId="0" borderId="0" xfId="0" applyFont="1" applyAlignment="1">
      <alignment vertical="center"/>
    </xf>
    <xf numFmtId="166" fontId="23" fillId="0" borderId="0" xfId="0" applyNumberFormat="1" applyFont="1"/>
    <xf numFmtId="0" fontId="23" fillId="0" borderId="0" xfId="0" applyFont="1"/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166" fontId="23" fillId="8" borderId="0" xfId="0" applyNumberFormat="1" applyFont="1" applyFill="1"/>
    <xf numFmtId="0" fontId="23" fillId="8" borderId="0" xfId="0" applyFont="1" applyFill="1"/>
    <xf numFmtId="0" fontId="23" fillId="8" borderId="0" xfId="0" applyFont="1" applyFill="1" applyAlignment="1">
      <alignment horizontal="center"/>
    </xf>
    <xf numFmtId="0" fontId="23" fillId="8" borderId="0" xfId="0" applyFont="1" applyFill="1" applyAlignment="1">
      <alignment horizontal="center" vertical="center"/>
    </xf>
    <xf numFmtId="0" fontId="24" fillId="0" borderId="51" xfId="0" applyFont="1" applyBorder="1"/>
    <xf numFmtId="0" fontId="24" fillId="0" borderId="51" xfId="0" applyFont="1" applyBorder="1" applyAlignment="1">
      <alignment horizontal="center"/>
    </xf>
    <xf numFmtId="0" fontId="24" fillId="0" borderId="51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1" fontId="23" fillId="8" borderId="0" xfId="0" applyNumberFormat="1" applyFont="1" applyFill="1" applyAlignment="1">
      <alignment horizontal="center" vertical="center"/>
    </xf>
    <xf numFmtId="2" fontId="23" fillId="8" borderId="0" xfId="0" applyNumberFormat="1" applyFont="1" applyFill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0" fontId="26" fillId="0" borderId="0" xfId="3"/>
    <xf numFmtId="167" fontId="26" fillId="0" borderId="0" xfId="3" applyNumberFormat="1"/>
    <xf numFmtId="0" fontId="27" fillId="0" borderId="0" xfId="3" applyFont="1" applyAlignment="1">
      <alignment horizontal="center"/>
    </xf>
    <xf numFmtId="44" fontId="7" fillId="0" borderId="27" xfId="1" applyFont="1" applyBorder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44" fontId="3" fillId="0" borderId="0" xfId="0" applyNumberFormat="1" applyFont="1"/>
    <xf numFmtId="44" fontId="2" fillId="0" borderId="0" xfId="0" applyNumberFormat="1" applyFont="1" applyAlignment="1">
      <alignment horizontal="center" vertical="center"/>
    </xf>
    <xf numFmtId="49" fontId="23" fillId="8" borderId="0" xfId="0" applyNumberFormat="1" applyFont="1" applyFill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center"/>
    </xf>
    <xf numFmtId="49" fontId="23" fillId="0" borderId="0" xfId="0" applyNumberFormat="1" applyFont="1"/>
    <xf numFmtId="49" fontId="23" fillId="8" borderId="0" xfId="0" applyNumberFormat="1" applyFont="1" applyFill="1" applyAlignment="1">
      <alignment horizontal="center"/>
    </xf>
    <xf numFmtId="49" fontId="23" fillId="8" borderId="0" xfId="0" applyNumberFormat="1" applyFont="1" applyFill="1"/>
    <xf numFmtId="44" fontId="23" fillId="0" borderId="0" xfId="0" applyNumberFormat="1" applyFont="1"/>
    <xf numFmtId="44" fontId="23" fillId="8" borderId="0" xfId="0" applyNumberFormat="1" applyFont="1" applyFill="1"/>
    <xf numFmtId="1" fontId="23" fillId="10" borderId="0" xfId="0" applyNumberFormat="1" applyFont="1" applyFill="1" applyAlignment="1">
      <alignment horizontal="center" vertical="center"/>
    </xf>
    <xf numFmtId="1" fontId="23" fillId="8" borderId="55" xfId="0" applyNumberFormat="1" applyFont="1" applyFill="1" applyBorder="1" applyAlignment="1">
      <alignment horizontal="center" vertical="center"/>
    </xf>
    <xf numFmtId="0" fontId="26" fillId="0" borderId="0" xfId="3" applyAlignment="1">
      <alignment horizontal="center" vertical="center"/>
    </xf>
    <xf numFmtId="0" fontId="33" fillId="0" borderId="0" xfId="3" applyFont="1" applyAlignment="1">
      <alignment vertical="center"/>
    </xf>
    <xf numFmtId="0" fontId="26" fillId="0" borderId="0" xfId="0" applyFont="1"/>
    <xf numFmtId="166" fontId="26" fillId="0" borderId="0" xfId="0" applyNumberFormat="1" applyFont="1"/>
    <xf numFmtId="1" fontId="26" fillId="0" borderId="0" xfId="0" applyNumberFormat="1" applyFont="1"/>
    <xf numFmtId="166" fontId="0" fillId="0" borderId="0" xfId="0" applyNumberFormat="1"/>
    <xf numFmtId="0" fontId="12" fillId="0" borderId="0" xfId="0" applyFont="1" applyAlignment="1">
      <alignment horizontal="center" vertical="center" textRotation="90"/>
    </xf>
    <xf numFmtId="0" fontId="29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44" fontId="29" fillId="0" borderId="0" xfId="0" applyNumberFormat="1" applyFont="1" applyAlignment="1">
      <alignment horizontal="center"/>
    </xf>
    <xf numFmtId="9" fontId="30" fillId="0" borderId="0" xfId="2" applyFont="1" applyFill="1" applyBorder="1" applyAlignment="1">
      <alignment horizontal="center"/>
    </xf>
    <xf numFmtId="4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44" fontId="7" fillId="0" borderId="0" xfId="0" applyNumberFormat="1" applyFont="1" applyAlignment="1">
      <alignment horizontal="center" vertical="center"/>
    </xf>
    <xf numFmtId="9" fontId="29" fillId="0" borderId="0" xfId="2" applyFont="1" applyFill="1" applyBorder="1" applyAlignment="1">
      <alignment horizontal="center"/>
    </xf>
    <xf numFmtId="44" fontId="30" fillId="0" borderId="0" xfId="0" applyNumberFormat="1" applyFont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13" fillId="2" borderId="0" xfId="0" applyFont="1" applyFill="1" applyAlignment="1">
      <alignment vertical="center"/>
    </xf>
    <xf numFmtId="44" fontId="13" fillId="0" borderId="0" xfId="1" applyFont="1" applyBorder="1" applyAlignment="1">
      <alignment horizontal="center" vertical="center"/>
    </xf>
    <xf numFmtId="9" fontId="13" fillId="0" borderId="0" xfId="1" applyNumberFormat="1" applyFont="1" applyBorder="1" applyAlignment="1">
      <alignment horizontal="center" vertical="center"/>
    </xf>
    <xf numFmtId="44" fontId="36" fillId="0" borderId="0" xfId="0" applyNumberFormat="1" applyFont="1" applyAlignment="1">
      <alignment horizontal="center" vertical="center"/>
    </xf>
    <xf numFmtId="9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vertical="center"/>
    </xf>
    <xf numFmtId="44" fontId="14" fillId="3" borderId="15" xfId="0" applyNumberFormat="1" applyFont="1" applyFill="1" applyBorder="1" applyAlignment="1">
      <alignment horizontal="center" vertical="center"/>
    </xf>
    <xf numFmtId="9" fontId="35" fillId="2" borderId="58" xfId="0" applyNumberFormat="1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44" fontId="14" fillId="3" borderId="27" xfId="0" applyNumberFormat="1" applyFont="1" applyFill="1" applyBorder="1" applyAlignment="1">
      <alignment horizontal="center" vertical="center"/>
    </xf>
    <xf numFmtId="0" fontId="35" fillId="2" borderId="58" xfId="0" applyFont="1" applyFill="1" applyBorder="1" applyAlignment="1">
      <alignment horizontal="center" vertical="center"/>
    </xf>
    <xf numFmtId="0" fontId="35" fillId="0" borderId="60" xfId="0" applyFont="1" applyBorder="1" applyAlignment="1">
      <alignment vertical="center"/>
    </xf>
    <xf numFmtId="44" fontId="35" fillId="0" borderId="58" xfId="1" applyFont="1" applyBorder="1" applyAlignment="1">
      <alignment horizontal="center" vertical="center"/>
    </xf>
    <xf numFmtId="9" fontId="35" fillId="0" borderId="58" xfId="1" applyNumberFormat="1" applyFont="1" applyBorder="1" applyAlignment="1">
      <alignment horizontal="center" vertical="center"/>
    </xf>
    <xf numFmtId="0" fontId="14" fillId="3" borderId="21" xfId="0" applyFont="1" applyFill="1" applyBorder="1" applyAlignment="1">
      <alignment horizontal="center" vertical="center"/>
    </xf>
    <xf numFmtId="44" fontId="35" fillId="0" borderId="57" xfId="1" applyFont="1" applyBorder="1" applyAlignment="1">
      <alignment horizontal="center" vertical="center"/>
    </xf>
    <xf numFmtId="9" fontId="35" fillId="0" borderId="57" xfId="1" applyNumberFormat="1" applyFont="1" applyBorder="1" applyAlignment="1">
      <alignment horizontal="center" vertical="center"/>
    </xf>
    <xf numFmtId="9" fontId="35" fillId="0" borderId="60" xfId="1" applyNumberFormat="1" applyFont="1" applyBorder="1" applyAlignment="1">
      <alignment horizontal="center" vertical="center"/>
    </xf>
    <xf numFmtId="0" fontId="7" fillId="2" borderId="27" xfId="0" applyFont="1" applyFill="1" applyBorder="1" applyAlignment="1">
      <alignment vertical="center"/>
    </xf>
    <xf numFmtId="0" fontId="14" fillId="3" borderId="27" xfId="0" applyFont="1" applyFill="1" applyBorder="1" applyAlignment="1">
      <alignment vertical="center"/>
    </xf>
    <xf numFmtId="0" fontId="35" fillId="2" borderId="60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14" fillId="4" borderId="52" xfId="0" applyFont="1" applyFill="1" applyBorder="1" applyAlignment="1">
      <alignment horizontal="center" vertical="center"/>
    </xf>
    <xf numFmtId="0" fontId="35" fillId="2" borderId="59" xfId="0" applyFont="1" applyFill="1" applyBorder="1" applyAlignment="1">
      <alignment horizontal="center" vertical="center"/>
    </xf>
    <xf numFmtId="44" fontId="35" fillId="2" borderId="58" xfId="0" applyNumberFormat="1" applyFont="1" applyFill="1" applyBorder="1" applyAlignment="1">
      <alignment horizontal="center" vertical="center"/>
    </xf>
    <xf numFmtId="9" fontId="35" fillId="2" borderId="58" xfId="2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44" fontId="3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44" fontId="14" fillId="0" borderId="0" xfId="0" applyNumberFormat="1" applyFont="1" applyAlignment="1">
      <alignment horizontal="center" vertical="center"/>
    </xf>
    <xf numFmtId="164" fontId="37" fillId="0" borderId="0" xfId="1" applyNumberFormat="1" applyFont="1" applyFill="1" applyBorder="1" applyAlignment="1">
      <alignment horizontal="center" vertical="center"/>
    </xf>
    <xf numFmtId="9" fontId="14" fillId="0" borderId="0" xfId="2" applyFont="1" applyFill="1" applyBorder="1" applyAlignment="1">
      <alignment horizontal="center" vertical="center"/>
    </xf>
    <xf numFmtId="9" fontId="14" fillId="3" borderId="15" xfId="0" applyNumberFormat="1" applyFont="1" applyFill="1" applyBorder="1" applyAlignment="1">
      <alignment horizontal="center" vertical="center"/>
    </xf>
    <xf numFmtId="9" fontId="11" fillId="0" borderId="27" xfId="1" applyNumberFormat="1" applyFont="1" applyBorder="1" applyAlignment="1">
      <alignment horizontal="center" vertical="center"/>
    </xf>
    <xf numFmtId="9" fontId="5" fillId="0" borderId="0" xfId="1" applyNumberFormat="1" applyFont="1" applyFill="1" applyBorder="1" applyAlignment="1">
      <alignment horizontal="center"/>
    </xf>
    <xf numFmtId="9" fontId="3" fillId="0" borderId="0" xfId="0" applyNumberFormat="1" applyFont="1" applyAlignment="1">
      <alignment horizontal="center"/>
    </xf>
    <xf numFmtId="9" fontId="29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 vertical="center"/>
    </xf>
    <xf numFmtId="0" fontId="26" fillId="0" borderId="0" xfId="3" applyAlignment="1">
      <alignment horizontal="center"/>
    </xf>
    <xf numFmtId="44" fontId="35" fillId="0" borderId="60" xfId="1" applyFont="1" applyBorder="1" applyAlignment="1">
      <alignment horizontal="center" vertical="center"/>
    </xf>
    <xf numFmtId="9" fontId="12" fillId="3" borderId="16" xfId="0" applyNumberFormat="1" applyFont="1" applyFill="1" applyBorder="1" applyAlignment="1">
      <alignment horizontal="center" vertical="center"/>
    </xf>
    <xf numFmtId="0" fontId="14" fillId="3" borderId="25" xfId="0" applyFont="1" applyFill="1" applyBorder="1" applyAlignment="1">
      <alignment vertical="center"/>
    </xf>
    <xf numFmtId="44" fontId="14" fillId="3" borderId="25" xfId="0" applyNumberFormat="1" applyFont="1" applyFill="1" applyBorder="1" applyAlignment="1">
      <alignment horizontal="center" vertical="center"/>
    </xf>
    <xf numFmtId="9" fontId="14" fillId="3" borderId="21" xfId="0" applyNumberFormat="1" applyFont="1" applyFill="1" applyBorder="1" applyAlignment="1">
      <alignment horizontal="center" vertical="center"/>
    </xf>
    <xf numFmtId="1" fontId="26" fillId="0" borderId="0" xfId="3" applyNumberFormat="1"/>
    <xf numFmtId="166" fontId="26" fillId="0" borderId="0" xfId="3" applyNumberFormat="1"/>
    <xf numFmtId="9" fontId="14" fillId="3" borderId="27" xfId="0" applyNumberFormat="1" applyFont="1" applyFill="1" applyBorder="1" applyAlignment="1">
      <alignment horizontal="center" vertical="center"/>
    </xf>
    <xf numFmtId="9" fontId="14" fillId="3" borderId="24" xfId="0" applyNumberFormat="1" applyFont="1" applyFill="1" applyBorder="1" applyAlignment="1">
      <alignment horizontal="center" vertical="center"/>
    </xf>
    <xf numFmtId="9" fontId="12" fillId="3" borderId="67" xfId="0" applyNumberFormat="1" applyFont="1" applyFill="1" applyBorder="1" applyAlignment="1">
      <alignment horizontal="center" vertical="center"/>
    </xf>
    <xf numFmtId="9" fontId="14" fillId="3" borderId="52" xfId="0" applyNumberFormat="1" applyFont="1" applyFill="1" applyBorder="1" applyAlignment="1">
      <alignment horizontal="center" vertical="center"/>
    </xf>
    <xf numFmtId="9" fontId="3" fillId="0" borderId="0" xfId="0" applyNumberFormat="1" applyFont="1" applyAlignment="1">
      <alignment vertical="center"/>
    </xf>
    <xf numFmtId="9" fontId="3" fillId="0" borderId="0" xfId="0" applyNumberFormat="1" applyFont="1"/>
    <xf numFmtId="0" fontId="38" fillId="0" borderId="0" xfId="0" applyFont="1" applyAlignment="1">
      <alignment vertical="center"/>
    </xf>
    <xf numFmtId="0" fontId="0" fillId="0" borderId="0" xfId="0" applyAlignment="1">
      <alignment horizontal="left" vertical="center" indent="5"/>
    </xf>
    <xf numFmtId="0" fontId="41" fillId="0" borderId="0" xfId="0" applyFont="1" applyAlignment="1">
      <alignment horizontal="left" vertical="center" indent="10"/>
    </xf>
    <xf numFmtId="0" fontId="0" fillId="0" borderId="0" xfId="0" quotePrefix="1" applyAlignment="1">
      <alignment horizontal="left" vertical="center" indent="5"/>
    </xf>
    <xf numFmtId="0" fontId="0" fillId="14" borderId="0" xfId="0" applyFill="1"/>
    <xf numFmtId="0" fontId="39" fillId="14" borderId="0" xfId="0" applyFont="1" applyFill="1" applyAlignment="1">
      <alignment vertical="center"/>
    </xf>
    <xf numFmtId="0" fontId="39" fillId="14" borderId="0" xfId="0" applyFont="1" applyFill="1"/>
    <xf numFmtId="0" fontId="39" fillId="14" borderId="0" xfId="0" applyFont="1" applyFill="1" applyAlignment="1">
      <alignment horizontal="left" vertical="center" indent="5"/>
    </xf>
    <xf numFmtId="0" fontId="39" fillId="14" borderId="0" xfId="0" quotePrefix="1" applyFont="1" applyFill="1" applyAlignment="1">
      <alignment horizontal="left" vertical="center" indent="5"/>
    </xf>
    <xf numFmtId="0" fontId="45" fillId="0" borderId="0" xfId="0" applyFont="1" applyAlignment="1">
      <alignment vertical="center"/>
    </xf>
    <xf numFmtId="0" fontId="7" fillId="3" borderId="0" xfId="0" applyFont="1" applyFill="1" applyAlignment="1">
      <alignment vertical="center"/>
    </xf>
    <xf numFmtId="44" fontId="7" fillId="3" borderId="0" xfId="0" applyNumberFormat="1" applyFont="1" applyFill="1" applyAlignment="1">
      <alignment horizontal="center" vertical="center"/>
    </xf>
    <xf numFmtId="9" fontId="7" fillId="3" borderId="16" xfId="0" applyNumberFormat="1" applyFont="1" applyFill="1" applyBorder="1" applyAlignment="1">
      <alignment horizontal="center" vertical="center"/>
    </xf>
    <xf numFmtId="9" fontId="7" fillId="3" borderId="67" xfId="0" applyNumberFormat="1" applyFont="1" applyFill="1" applyBorder="1" applyAlignment="1">
      <alignment horizontal="center" vertical="center"/>
    </xf>
    <xf numFmtId="44" fontId="35" fillId="0" borderId="0" xfId="1" applyFont="1" applyBorder="1" applyAlignment="1">
      <alignment horizontal="center" vertical="center"/>
    </xf>
    <xf numFmtId="0" fontId="7" fillId="0" borderId="0" xfId="0" applyFont="1" applyAlignment="1">
      <alignment horizontal="center" vertical="center" textRotation="90"/>
    </xf>
    <xf numFmtId="0" fontId="47" fillId="0" borderId="0" xfId="0" applyFont="1" applyAlignment="1">
      <alignment horizontal="left" vertical="center"/>
    </xf>
    <xf numFmtId="0" fontId="26" fillId="0" borderId="71" xfId="3" applyBorder="1"/>
    <xf numFmtId="1" fontId="47" fillId="0" borderId="0" xfId="0" applyNumberFormat="1" applyFont="1" applyAlignment="1">
      <alignment horizontal="left" vertical="center"/>
    </xf>
    <xf numFmtId="44" fontId="47" fillId="0" borderId="0" xfId="1" applyFont="1" applyFill="1" applyBorder="1" applyAlignment="1">
      <alignment horizontal="left" vertical="center"/>
    </xf>
    <xf numFmtId="167" fontId="26" fillId="0" borderId="71" xfId="3" applyNumberFormat="1" applyBorder="1"/>
    <xf numFmtId="0" fontId="0" fillId="15" borderId="0" xfId="0" applyFill="1"/>
    <xf numFmtId="9" fontId="35" fillId="0" borderId="0" xfId="2" applyFont="1" applyFill="1" applyBorder="1" applyAlignment="1">
      <alignment horizontal="center" vertical="center"/>
    </xf>
    <xf numFmtId="9" fontId="35" fillId="0" borderId="0" xfId="0" applyNumberFormat="1" applyFont="1" applyAlignment="1">
      <alignment horizontal="center" vertical="center"/>
    </xf>
    <xf numFmtId="1" fontId="48" fillId="0" borderId="0" xfId="0" applyNumberFormat="1" applyFont="1" applyAlignment="1">
      <alignment horizontal="left"/>
    </xf>
    <xf numFmtId="1" fontId="48" fillId="0" borderId="71" xfId="0" applyNumberFormat="1" applyFont="1" applyBorder="1" applyAlignment="1">
      <alignment horizontal="left"/>
    </xf>
    <xf numFmtId="1" fontId="48" fillId="0" borderId="0" xfId="3" applyNumberFormat="1" applyFont="1" applyAlignment="1">
      <alignment horizontal="left"/>
    </xf>
    <xf numFmtId="0" fontId="48" fillId="0" borderId="0" xfId="3" applyFont="1" applyAlignment="1">
      <alignment horizontal="left"/>
    </xf>
    <xf numFmtId="0" fontId="48" fillId="0" borderId="0" xfId="0" applyFont="1" applyAlignment="1">
      <alignment horizontal="left"/>
    </xf>
    <xf numFmtId="166" fontId="48" fillId="0" borderId="0" xfId="0" applyNumberFormat="1" applyFont="1" applyAlignment="1">
      <alignment horizontal="left"/>
    </xf>
    <xf numFmtId="0" fontId="49" fillId="0" borderId="0" xfId="0" applyFont="1" applyAlignment="1">
      <alignment horizontal="left" vertical="center"/>
    </xf>
    <xf numFmtId="1" fontId="49" fillId="0" borderId="0" xfId="0" applyNumberFormat="1" applyFont="1" applyAlignment="1">
      <alignment horizontal="left" vertical="center"/>
    </xf>
    <xf numFmtId="44" fontId="49" fillId="0" borderId="0" xfId="1" applyFont="1" applyFill="1" applyBorder="1" applyAlignment="1">
      <alignment horizontal="left" vertical="center"/>
    </xf>
    <xf numFmtId="0" fontId="48" fillId="0" borderId="71" xfId="0" applyFont="1" applyBorder="1" applyAlignment="1">
      <alignment horizontal="left"/>
    </xf>
    <xf numFmtId="0" fontId="48" fillId="0" borderId="71" xfId="3" applyFont="1" applyBorder="1" applyAlignment="1">
      <alignment horizontal="left"/>
    </xf>
    <xf numFmtId="166" fontId="48" fillId="0" borderId="71" xfId="0" applyNumberFormat="1" applyFont="1" applyBorder="1" applyAlignment="1">
      <alignment horizontal="left"/>
    </xf>
    <xf numFmtId="166" fontId="48" fillId="0" borderId="0" xfId="3" applyNumberFormat="1" applyFont="1" applyAlignment="1">
      <alignment horizontal="left"/>
    </xf>
    <xf numFmtId="49" fontId="48" fillId="0" borderId="0" xfId="0" applyNumberFormat="1" applyFont="1" applyAlignment="1">
      <alignment horizontal="left"/>
    </xf>
    <xf numFmtId="0" fontId="48" fillId="0" borderId="0" xfId="0" applyFont="1" applyAlignment="1">
      <alignment horizontal="left" vertical="center"/>
    </xf>
    <xf numFmtId="1" fontId="48" fillId="0" borderId="0" xfId="0" applyNumberFormat="1" applyFont="1" applyAlignment="1">
      <alignment horizontal="left" vertical="center"/>
    </xf>
    <xf numFmtId="44" fontId="48" fillId="0" borderId="0" xfId="1" applyFont="1" applyFill="1" applyBorder="1" applyAlignment="1">
      <alignment horizontal="left" vertical="center"/>
    </xf>
    <xf numFmtId="1" fontId="48" fillId="0" borderId="71" xfId="3" applyNumberFormat="1" applyFont="1" applyBorder="1" applyAlignment="1">
      <alignment horizontal="left"/>
    </xf>
    <xf numFmtId="49" fontId="48" fillId="0" borderId="71" xfId="3" applyNumberFormat="1" applyFont="1" applyBorder="1" applyAlignment="1">
      <alignment horizontal="left"/>
    </xf>
    <xf numFmtId="166" fontId="48" fillId="0" borderId="71" xfId="3" applyNumberFormat="1" applyFont="1" applyBorder="1" applyAlignment="1">
      <alignment horizontal="left"/>
    </xf>
    <xf numFmtId="0" fontId="48" fillId="0" borderId="71" xfId="0" applyFont="1" applyBorder="1" applyAlignment="1">
      <alignment horizontal="left" vertical="center"/>
    </xf>
    <xf numFmtId="1" fontId="48" fillId="0" borderId="71" xfId="0" applyNumberFormat="1" applyFont="1" applyBorder="1" applyAlignment="1">
      <alignment horizontal="left" vertical="center"/>
    </xf>
    <xf numFmtId="44" fontId="48" fillId="0" borderId="71" xfId="1" applyFont="1" applyFill="1" applyBorder="1" applyAlignment="1">
      <alignment horizontal="left" vertical="center"/>
    </xf>
    <xf numFmtId="49" fontId="48" fillId="0" borderId="71" xfId="0" applyNumberFormat="1" applyFont="1" applyBorder="1" applyAlignment="1">
      <alignment horizontal="left"/>
    </xf>
    <xf numFmtId="49" fontId="48" fillId="0" borderId="0" xfId="3" applyNumberFormat="1" applyFont="1" applyAlignment="1">
      <alignment horizontal="left"/>
    </xf>
    <xf numFmtId="167" fontId="48" fillId="0" borderId="0" xfId="3" applyNumberFormat="1" applyFont="1" applyAlignment="1">
      <alignment horizontal="left"/>
    </xf>
    <xf numFmtId="167" fontId="48" fillId="0" borderId="71" xfId="3" applyNumberFormat="1" applyFont="1" applyBorder="1" applyAlignment="1">
      <alignment horizontal="left"/>
    </xf>
    <xf numFmtId="0" fontId="32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left" vertical="center"/>
    </xf>
    <xf numFmtId="0" fontId="48" fillId="0" borderId="5" xfId="0" applyFont="1" applyBorder="1" applyAlignment="1">
      <alignment horizontal="left" vertical="center"/>
    </xf>
    <xf numFmtId="166" fontId="48" fillId="0" borderId="0" xfId="0" applyNumberFormat="1" applyFont="1" applyAlignment="1">
      <alignment horizontal="left" vertical="center"/>
    </xf>
    <xf numFmtId="0" fontId="48" fillId="0" borderId="72" xfId="0" applyFont="1" applyBorder="1" applyAlignment="1">
      <alignment horizontal="left" vertical="center"/>
    </xf>
    <xf numFmtId="0" fontId="32" fillId="0" borderId="71" xfId="0" applyFont="1" applyBorder="1" applyAlignment="1">
      <alignment horizontal="left" vertical="center"/>
    </xf>
    <xf numFmtId="49" fontId="48" fillId="0" borderId="71" xfId="0" applyNumberFormat="1" applyFont="1" applyBorder="1" applyAlignment="1">
      <alignment horizontal="left" vertical="center"/>
    </xf>
    <xf numFmtId="166" fontId="48" fillId="0" borderId="71" xfId="0" applyNumberFormat="1" applyFont="1" applyBorder="1" applyAlignment="1">
      <alignment horizontal="left" vertical="center"/>
    </xf>
    <xf numFmtId="0" fontId="32" fillId="0" borderId="72" xfId="0" applyFont="1" applyBorder="1" applyAlignment="1">
      <alignment horizontal="left" vertical="center"/>
    </xf>
    <xf numFmtId="49" fontId="48" fillId="0" borderId="72" xfId="0" applyNumberFormat="1" applyFont="1" applyBorder="1" applyAlignment="1">
      <alignment horizontal="left" vertical="center"/>
    </xf>
    <xf numFmtId="0" fontId="48" fillId="0" borderId="5" xfId="0" applyFont="1" applyBorder="1" applyAlignment="1">
      <alignment horizontal="left"/>
    </xf>
    <xf numFmtId="44" fontId="35" fillId="2" borderId="58" xfId="1" applyFont="1" applyFill="1" applyBorder="1" applyAlignment="1">
      <alignment horizontal="center" vertical="center"/>
    </xf>
    <xf numFmtId="9" fontId="14" fillId="2" borderId="58" xfId="0" applyNumberFormat="1" applyFont="1" applyFill="1" applyBorder="1" applyAlignment="1">
      <alignment horizontal="center" vertical="center"/>
    </xf>
    <xf numFmtId="9" fontId="35" fillId="2" borderId="58" xfId="1" applyNumberFormat="1" applyFont="1" applyFill="1" applyBorder="1" applyAlignment="1">
      <alignment horizontal="center" vertical="center"/>
    </xf>
    <xf numFmtId="1" fontId="0" fillId="0" borderId="0" xfId="0" applyNumberFormat="1"/>
    <xf numFmtId="0" fontId="3" fillId="0" borderId="68" xfId="0" applyFont="1" applyBorder="1" applyAlignment="1">
      <alignment vertical="center"/>
    </xf>
    <xf numFmtId="44" fontId="3" fillId="0" borderId="68" xfId="0" applyNumberFormat="1" applyFont="1" applyBorder="1" applyAlignment="1">
      <alignment horizontal="center" vertical="center"/>
    </xf>
    <xf numFmtId="9" fontId="3" fillId="0" borderId="68" xfId="0" applyNumberFormat="1" applyFont="1" applyBorder="1" applyAlignment="1">
      <alignment horizontal="center" vertical="center"/>
    </xf>
    <xf numFmtId="0" fontId="0" fillId="0" borderId="5" xfId="0" applyBorder="1"/>
    <xf numFmtId="44" fontId="35" fillId="2" borderId="60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0" fillId="0" borderId="71" xfId="0" applyBorder="1"/>
    <xf numFmtId="44" fontId="46" fillId="0" borderId="0" xfId="1" applyFont="1" applyFill="1" applyBorder="1" applyAlignment="1">
      <alignment horizontal="center" vertical="center"/>
    </xf>
    <xf numFmtId="9" fontId="35" fillId="0" borderId="58" xfId="0" applyNumberFormat="1" applyFont="1" applyBorder="1" applyAlignment="1">
      <alignment horizontal="center" vertical="center"/>
    </xf>
    <xf numFmtId="0" fontId="12" fillId="3" borderId="26" xfId="0" applyFont="1" applyFill="1" applyBorder="1" applyAlignment="1">
      <alignment vertical="center"/>
    </xf>
    <xf numFmtId="44" fontId="12" fillId="3" borderId="25" xfId="0" applyNumberFormat="1" applyFont="1" applyFill="1" applyBorder="1" applyAlignment="1">
      <alignment horizontal="center" vertical="center"/>
    </xf>
    <xf numFmtId="9" fontId="12" fillId="3" borderId="21" xfId="0" applyNumberFormat="1" applyFont="1" applyFill="1" applyBorder="1" applyAlignment="1">
      <alignment horizontal="center" vertical="center"/>
    </xf>
    <xf numFmtId="9" fontId="12" fillId="3" borderId="25" xfId="0" applyNumberFormat="1" applyFont="1" applyFill="1" applyBorder="1" applyAlignment="1">
      <alignment horizontal="center" vertical="center"/>
    </xf>
    <xf numFmtId="1" fontId="48" fillId="0" borderId="72" xfId="0" applyNumberFormat="1" applyFont="1" applyBorder="1" applyAlignment="1">
      <alignment horizontal="left" vertical="center"/>
    </xf>
    <xf numFmtId="166" fontId="48" fillId="0" borderId="72" xfId="0" applyNumberFormat="1" applyFont="1" applyBorder="1" applyAlignment="1">
      <alignment horizontal="left" vertical="center"/>
    </xf>
    <xf numFmtId="1" fontId="46" fillId="0" borderId="0" xfId="0" applyNumberFormat="1" applyFont="1" applyAlignment="1">
      <alignment horizontal="center" vertical="center"/>
    </xf>
    <xf numFmtId="1" fontId="46" fillId="0" borderId="71" xfId="0" applyNumberFormat="1" applyFont="1" applyBorder="1" applyAlignment="1">
      <alignment horizontal="center" vertical="center"/>
    </xf>
    <xf numFmtId="0" fontId="46" fillId="0" borderId="71" xfId="0" applyFont="1" applyBorder="1" applyAlignment="1">
      <alignment horizontal="center" vertical="center"/>
    </xf>
    <xf numFmtId="0" fontId="26" fillId="15" borderId="0" xfId="3" applyFill="1"/>
    <xf numFmtId="0" fontId="26" fillId="0" borderId="5" xfId="0" applyFont="1" applyBorder="1"/>
    <xf numFmtId="0" fontId="46" fillId="16" borderId="0" xfId="0" applyFont="1" applyFill="1" applyAlignment="1">
      <alignment horizontal="center" vertical="center"/>
    </xf>
    <xf numFmtId="1" fontId="26" fillId="0" borderId="5" xfId="0" applyNumberFormat="1" applyFont="1" applyBorder="1"/>
    <xf numFmtId="1" fontId="46" fillId="16" borderId="0" xfId="0" applyNumberFormat="1" applyFont="1" applyFill="1" applyAlignment="1">
      <alignment horizontal="center" vertical="center"/>
    </xf>
    <xf numFmtId="166" fontId="26" fillId="0" borderId="5" xfId="0" applyNumberFormat="1" applyFont="1" applyBorder="1"/>
    <xf numFmtId="44" fontId="46" fillId="16" borderId="0" xfId="1" applyFont="1" applyFill="1" applyBorder="1" applyAlignment="1">
      <alignment horizontal="center" vertical="center"/>
    </xf>
    <xf numFmtId="0" fontId="46" fillId="16" borderId="71" xfId="0" applyFont="1" applyFill="1" applyBorder="1" applyAlignment="1">
      <alignment horizontal="center" vertical="center"/>
    </xf>
    <xf numFmtId="1" fontId="46" fillId="0" borderId="5" xfId="0" applyNumberFormat="1" applyFont="1" applyBorder="1" applyAlignment="1">
      <alignment horizontal="center" vertical="center"/>
    </xf>
    <xf numFmtId="1" fontId="46" fillId="16" borderId="71" xfId="0" applyNumberFormat="1" applyFont="1" applyFill="1" applyBorder="1" applyAlignment="1">
      <alignment horizontal="center" vertical="center"/>
    </xf>
    <xf numFmtId="166" fontId="0" fillId="0" borderId="5" xfId="0" applyNumberFormat="1" applyBorder="1"/>
    <xf numFmtId="44" fontId="46" fillId="16" borderId="71" xfId="1" applyFont="1" applyFill="1" applyBorder="1" applyAlignment="1">
      <alignment horizontal="center" vertical="center"/>
    </xf>
    <xf numFmtId="9" fontId="14" fillId="3" borderId="25" xfId="0" applyNumberFormat="1" applyFont="1" applyFill="1" applyBorder="1" applyAlignment="1">
      <alignment horizontal="center" vertical="center"/>
    </xf>
    <xf numFmtId="0" fontId="49" fillId="0" borderId="71" xfId="0" applyFont="1" applyBorder="1" applyAlignment="1">
      <alignment horizontal="left" vertical="center"/>
    </xf>
    <xf numFmtId="1" fontId="49" fillId="0" borderId="71" xfId="0" applyNumberFormat="1" applyFont="1" applyBorder="1" applyAlignment="1">
      <alignment horizontal="left" vertical="center"/>
    </xf>
    <xf numFmtId="44" fontId="49" fillId="0" borderId="71" xfId="1" applyFont="1" applyFill="1" applyBorder="1" applyAlignment="1">
      <alignment horizontal="left" vertical="center"/>
    </xf>
    <xf numFmtId="44" fontId="46" fillId="0" borderId="0" xfId="1" applyFont="1" applyBorder="1" applyAlignment="1">
      <alignment horizontal="center" vertical="center"/>
    </xf>
    <xf numFmtId="0" fontId="35" fillId="2" borderId="63" xfId="0" applyFont="1" applyFill="1" applyBorder="1" applyAlignment="1">
      <alignment vertical="center"/>
    </xf>
    <xf numFmtId="0" fontId="35" fillId="0" borderId="58" xfId="0" applyFont="1" applyBorder="1" applyAlignment="1">
      <alignment vertical="center"/>
    </xf>
    <xf numFmtId="9" fontId="35" fillId="0" borderId="58" xfId="2" applyFont="1" applyFill="1" applyBorder="1" applyAlignment="1">
      <alignment horizontal="center" vertical="center"/>
    </xf>
    <xf numFmtId="44" fontId="46" fillId="0" borderId="71" xfId="1" applyFont="1" applyBorder="1" applyAlignment="1">
      <alignment horizontal="center" vertical="center"/>
    </xf>
    <xf numFmtId="1" fontId="0" fillId="0" borderId="71" xfId="0" applyNumberFormat="1" applyBorder="1"/>
    <xf numFmtId="0" fontId="35" fillId="2" borderId="58" xfId="1" applyNumberFormat="1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5" fillId="0" borderId="67" xfId="1" applyNumberFormat="1" applyFont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35" fillId="0" borderId="61" xfId="1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5" fillId="0" borderId="57" xfId="1" applyNumberFormat="1" applyFont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35" fillId="0" borderId="58" xfId="1" applyNumberFormat="1" applyFont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13" fillId="0" borderId="0" xfId="1" applyNumberFormat="1" applyFont="1" applyBorder="1" applyAlignment="1">
      <alignment horizontal="center" vertical="center"/>
    </xf>
    <xf numFmtId="0" fontId="14" fillId="3" borderId="52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35" fillId="0" borderId="0" xfId="1" applyNumberFormat="1" applyFont="1" applyBorder="1" applyAlignment="1">
      <alignment horizontal="center" vertical="center"/>
    </xf>
    <xf numFmtId="0" fontId="14" fillId="3" borderId="22" xfId="0" applyFont="1" applyFill="1" applyBorder="1" applyAlignment="1">
      <alignment horizontal="center" vertical="center"/>
    </xf>
    <xf numFmtId="0" fontId="13" fillId="0" borderId="68" xfId="1" applyNumberFormat="1" applyFont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36" fillId="0" borderId="0" xfId="1" applyNumberFormat="1" applyFont="1" applyBorder="1" applyAlignment="1">
      <alignment horizontal="center" vertical="center"/>
    </xf>
    <xf numFmtId="0" fontId="35" fillId="2" borderId="61" xfId="0" applyFont="1" applyFill="1" applyBorder="1" applyAlignment="1">
      <alignment horizontal="center" vertical="center"/>
    </xf>
    <xf numFmtId="0" fontId="4" fillId="0" borderId="0" xfId="2" applyNumberFormat="1" applyFont="1" applyFill="1" applyBorder="1" applyAlignment="1">
      <alignment horizontal="center"/>
    </xf>
    <xf numFmtId="9" fontId="35" fillId="2" borderId="74" xfId="0" applyNumberFormat="1" applyFont="1" applyFill="1" applyBorder="1" applyAlignment="1">
      <alignment horizontal="center" vertical="center"/>
    </xf>
    <xf numFmtId="9" fontId="35" fillId="2" borderId="56" xfId="0" applyNumberFormat="1" applyFont="1" applyFill="1" applyBorder="1" applyAlignment="1">
      <alignment horizontal="center" vertical="center"/>
    </xf>
    <xf numFmtId="0" fontId="2" fillId="17" borderId="0" xfId="0" applyFont="1" applyFill="1"/>
    <xf numFmtId="0" fontId="2" fillId="17" borderId="0" xfId="0" applyFont="1" applyFill="1" applyAlignment="1">
      <alignment horizontal="center" vertical="center"/>
    </xf>
    <xf numFmtId="44" fontId="2" fillId="17" borderId="0" xfId="0" applyNumberFormat="1" applyFont="1" applyFill="1" applyAlignment="1">
      <alignment horizontal="center" vertical="center"/>
    </xf>
    <xf numFmtId="9" fontId="2" fillId="17" borderId="0" xfId="0" applyNumberFormat="1" applyFont="1" applyFill="1" applyAlignment="1">
      <alignment horizontal="center" vertical="center"/>
    </xf>
    <xf numFmtId="0" fontId="0" fillId="17" borderId="0" xfId="0" applyFill="1"/>
    <xf numFmtId="0" fontId="35" fillId="0" borderId="15" xfId="1" applyNumberFormat="1" applyFont="1" applyFill="1" applyBorder="1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50" fillId="18" borderId="79" xfId="0" applyFont="1" applyFill="1" applyBorder="1"/>
    <xf numFmtId="0" fontId="50" fillId="18" borderId="80" xfId="0" applyFont="1" applyFill="1" applyBorder="1"/>
    <xf numFmtId="0" fontId="50" fillId="18" borderId="81" xfId="0" applyFont="1" applyFill="1" applyBorder="1"/>
    <xf numFmtId="0" fontId="53" fillId="16" borderId="0" xfId="0" applyFont="1" applyFill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2" fillId="0" borderId="0" xfId="0" applyFont="1"/>
    <xf numFmtId="0" fontId="12" fillId="2" borderId="12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44" fontId="12" fillId="2" borderId="11" xfId="1" applyFont="1" applyFill="1" applyBorder="1" applyAlignment="1">
      <alignment horizontal="center" vertical="center"/>
    </xf>
    <xf numFmtId="2" fontId="12" fillId="2" borderId="11" xfId="0" applyNumberFormat="1" applyFont="1" applyFill="1" applyBorder="1" applyAlignment="1">
      <alignment horizontal="center" vertical="center"/>
    </xf>
    <xf numFmtId="0" fontId="12" fillId="2" borderId="76" xfId="0" applyFont="1" applyFill="1" applyBorder="1" applyAlignment="1">
      <alignment horizontal="center" vertical="center"/>
    </xf>
    <xf numFmtId="0" fontId="36" fillId="2" borderId="10" xfId="0" applyFont="1" applyFill="1" applyBorder="1" applyAlignment="1">
      <alignment horizontal="center" vertical="center"/>
    </xf>
    <xf numFmtId="0" fontId="22" fillId="0" borderId="0" xfId="0" applyFont="1"/>
    <xf numFmtId="0" fontId="36" fillId="0" borderId="75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44" fontId="36" fillId="0" borderId="8" xfId="0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/>
    </xf>
    <xf numFmtId="0" fontId="36" fillId="0" borderId="59" xfId="0" applyFont="1" applyBorder="1" applyAlignment="1">
      <alignment horizontal="center" vertical="center"/>
    </xf>
    <xf numFmtId="0" fontId="36" fillId="0" borderId="5" xfId="0" applyFont="1" applyBorder="1" applyAlignment="1">
      <alignment horizontal="left" vertical="center"/>
    </xf>
    <xf numFmtId="9" fontId="36" fillId="0" borderId="5" xfId="2" applyFont="1" applyFill="1" applyBorder="1" applyAlignment="1">
      <alignment horizontal="center" vertical="center"/>
    </xf>
    <xf numFmtId="0" fontId="0" fillId="0" borderId="0" xfId="0" quotePrefix="1"/>
    <xf numFmtId="0" fontId="50" fillId="18" borderId="80" xfId="0" applyFont="1" applyFill="1" applyBorder="1" applyAlignment="1">
      <alignment horizontal="center" vertical="center"/>
    </xf>
    <xf numFmtId="44" fontId="35" fillId="0" borderId="62" xfId="1" applyFont="1" applyBorder="1" applyAlignment="1">
      <alignment horizontal="center" vertical="center"/>
    </xf>
    <xf numFmtId="166" fontId="48" fillId="0" borderId="0" xfId="1" applyNumberFormat="1" applyFont="1" applyFill="1" applyBorder="1" applyAlignment="1">
      <alignment horizontal="left" vertical="center"/>
    </xf>
    <xf numFmtId="0" fontId="53" fillId="0" borderId="0" xfId="0" applyFont="1" applyAlignment="1">
      <alignment horizontal="center" vertical="center"/>
    </xf>
    <xf numFmtId="166" fontId="46" fillId="0" borderId="0" xfId="1" applyNumberFormat="1" applyFon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48" fillId="0" borderId="73" xfId="0" applyFont="1" applyBorder="1" applyAlignment="1">
      <alignment horizontal="left" vertical="center"/>
    </xf>
    <xf numFmtId="0" fontId="14" fillId="0" borderId="13" xfId="0" applyFont="1" applyBorder="1" applyAlignment="1">
      <alignment horizontal="center" vertical="center"/>
    </xf>
    <xf numFmtId="44" fontId="14" fillId="0" borderId="13" xfId="0" applyNumberFormat="1" applyFont="1" applyBorder="1" applyAlignment="1">
      <alignment horizontal="center" vertical="center"/>
    </xf>
    <xf numFmtId="9" fontId="14" fillId="0" borderId="13" xfId="0" applyNumberFormat="1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/>
    </xf>
    <xf numFmtId="9" fontId="36" fillId="0" borderId="58" xfId="2" applyFont="1" applyFill="1" applyBorder="1" applyAlignment="1">
      <alignment horizontal="center" vertical="center"/>
    </xf>
    <xf numFmtId="1" fontId="26" fillId="0" borderId="0" xfId="4" applyNumberFormat="1" applyFont="1" applyFill="1"/>
    <xf numFmtId="1" fontId="26" fillId="0" borderId="0" xfId="3" applyNumberFormat="1" applyAlignment="1">
      <alignment horizontal="left"/>
    </xf>
    <xf numFmtId="0" fontId="49" fillId="0" borderId="0" xfId="3" applyFont="1" applyAlignment="1">
      <alignment horizontal="left" vertical="center"/>
    </xf>
    <xf numFmtId="49" fontId="46" fillId="0" borderId="71" xfId="0" applyNumberFormat="1" applyFont="1" applyBorder="1" applyAlignment="1">
      <alignment horizontal="center" vertical="center"/>
    </xf>
    <xf numFmtId="44" fontId="46" fillId="0" borderId="71" xfId="5" applyFont="1" applyBorder="1" applyAlignment="1">
      <alignment horizontal="center" vertical="center"/>
    </xf>
    <xf numFmtId="49" fontId="46" fillId="15" borderId="71" xfId="0" applyNumberFormat="1" applyFont="1" applyFill="1" applyBorder="1" applyAlignment="1">
      <alignment horizontal="center" vertical="center"/>
    </xf>
    <xf numFmtId="1" fontId="46" fillId="15" borderId="71" xfId="0" applyNumberFormat="1" applyFont="1" applyFill="1" applyBorder="1" applyAlignment="1">
      <alignment horizontal="center" vertical="center"/>
    </xf>
    <xf numFmtId="44" fontId="46" fillId="15" borderId="71" xfId="1" applyFont="1" applyFill="1" applyBorder="1" applyAlignment="1">
      <alignment horizontal="center" vertical="center"/>
    </xf>
    <xf numFmtId="0" fontId="26" fillId="0" borderId="71" xfId="0" applyFont="1" applyBorder="1"/>
    <xf numFmtId="49" fontId="46" fillId="15" borderId="0" xfId="0" applyNumberFormat="1" applyFont="1" applyFill="1" applyAlignment="1">
      <alignment horizontal="center" vertical="center"/>
    </xf>
    <xf numFmtId="1" fontId="26" fillId="0" borderId="71" xfId="0" applyNumberFormat="1" applyFont="1" applyBorder="1"/>
    <xf numFmtId="1" fontId="46" fillId="15" borderId="0" xfId="0" applyNumberFormat="1" applyFont="1" applyFill="1" applyAlignment="1">
      <alignment horizontal="center" vertical="center"/>
    </xf>
    <xf numFmtId="166" fontId="26" fillId="0" borderId="71" xfId="0" applyNumberFormat="1" applyFont="1" applyBorder="1"/>
    <xf numFmtId="44" fontId="46" fillId="15" borderId="0" xfId="5" applyFont="1" applyFill="1" applyBorder="1" applyAlignment="1">
      <alignment horizontal="center" vertical="center"/>
    </xf>
    <xf numFmtId="44" fontId="46" fillId="15" borderId="0" xfId="1" applyFont="1" applyFill="1" applyBorder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44" fontId="46" fillId="0" borderId="0" xfId="5" applyFont="1" applyBorder="1" applyAlignment="1">
      <alignment horizontal="center" vertical="center"/>
    </xf>
    <xf numFmtId="166" fontId="46" fillId="16" borderId="0" xfId="1" applyNumberFormat="1" applyFont="1" applyFill="1" applyBorder="1" applyAlignment="1">
      <alignment horizontal="center" vertical="center"/>
    </xf>
    <xf numFmtId="0" fontId="36" fillId="0" borderId="34" xfId="0" applyFont="1" applyBorder="1" applyAlignment="1">
      <alignment horizontal="center" vertical="center"/>
    </xf>
    <xf numFmtId="44" fontId="35" fillId="0" borderId="15" xfId="1" applyFont="1" applyFill="1" applyBorder="1" applyAlignment="1">
      <alignment horizontal="center" vertical="center"/>
    </xf>
    <xf numFmtId="44" fontId="0" fillId="0" borderId="0" xfId="1" applyFont="1"/>
    <xf numFmtId="0" fontId="35" fillId="0" borderId="56" xfId="1" applyNumberFormat="1" applyFont="1" applyBorder="1" applyAlignment="1">
      <alignment horizontal="center" vertical="center"/>
    </xf>
    <xf numFmtId="44" fontId="35" fillId="0" borderId="68" xfId="1" applyFont="1" applyBorder="1" applyAlignment="1">
      <alignment horizontal="center" vertical="center"/>
    </xf>
    <xf numFmtId="9" fontId="35" fillId="0" borderId="56" xfId="1" applyNumberFormat="1" applyFont="1" applyBorder="1" applyAlignment="1">
      <alignment horizontal="center" vertical="center"/>
    </xf>
    <xf numFmtId="9" fontId="35" fillId="0" borderId="68" xfId="1" applyNumberFormat="1" applyFont="1" applyBorder="1" applyAlignment="1">
      <alignment horizontal="center" vertical="center"/>
    </xf>
    <xf numFmtId="0" fontId="12" fillId="3" borderId="82" xfId="0" applyFont="1" applyFill="1" applyBorder="1" applyAlignment="1">
      <alignment vertical="center"/>
    </xf>
    <xf numFmtId="0" fontId="12" fillId="3" borderId="77" xfId="0" applyFont="1" applyFill="1" applyBorder="1" applyAlignment="1">
      <alignment horizontal="center" vertical="center"/>
    </xf>
    <xf numFmtId="44" fontId="12" fillId="3" borderId="63" xfId="0" applyNumberFormat="1" applyFont="1" applyFill="1" applyBorder="1" applyAlignment="1">
      <alignment horizontal="center" vertical="center"/>
    </xf>
    <xf numFmtId="9" fontId="12" fillId="3" borderId="77" xfId="0" applyNumberFormat="1" applyFont="1" applyFill="1" applyBorder="1" applyAlignment="1">
      <alignment horizontal="center" vertical="center"/>
    </xf>
    <xf numFmtId="9" fontId="12" fillId="3" borderId="78" xfId="0" applyNumberFormat="1" applyFont="1" applyFill="1" applyBorder="1" applyAlignment="1">
      <alignment horizontal="center" vertical="center"/>
    </xf>
    <xf numFmtId="0" fontId="12" fillId="3" borderId="83" xfId="0" applyFont="1" applyFill="1" applyBorder="1" applyAlignment="1">
      <alignment horizontal="center" vertical="center"/>
    </xf>
    <xf numFmtId="0" fontId="12" fillId="3" borderId="0" xfId="0" applyFont="1" applyFill="1" applyAlignment="1">
      <alignment vertical="center"/>
    </xf>
    <xf numFmtId="44" fontId="12" fillId="3" borderId="0" xfId="0" applyNumberFormat="1" applyFont="1" applyFill="1" applyAlignment="1">
      <alignment horizontal="center" vertical="center"/>
    </xf>
    <xf numFmtId="0" fontId="12" fillId="3" borderId="69" xfId="0" applyFont="1" applyFill="1" applyBorder="1" applyAlignment="1">
      <alignment horizontal="center" vertical="center"/>
    </xf>
    <xf numFmtId="0" fontId="35" fillId="0" borderId="74" xfId="0" applyFont="1" applyBorder="1" applyAlignment="1">
      <alignment vertical="center"/>
    </xf>
    <xf numFmtId="0" fontId="35" fillId="0" borderId="74" xfId="1" applyNumberFormat="1" applyFont="1" applyFill="1" applyBorder="1" applyAlignment="1">
      <alignment horizontal="center" vertical="center"/>
    </xf>
    <xf numFmtId="44" fontId="35" fillId="0" borderId="74" xfId="1" applyFont="1" applyFill="1" applyBorder="1" applyAlignment="1">
      <alignment horizontal="center" vertical="center"/>
    </xf>
    <xf numFmtId="9" fontId="35" fillId="0" borderId="74" xfId="2" applyFont="1" applyFill="1" applyBorder="1" applyAlignment="1">
      <alignment horizontal="center" vertical="center"/>
    </xf>
    <xf numFmtId="9" fontId="35" fillId="0" borderId="74" xfId="0" applyNumberFormat="1" applyFont="1" applyBorder="1" applyAlignment="1">
      <alignment horizontal="center" vertical="center"/>
    </xf>
    <xf numFmtId="44" fontId="35" fillId="2" borderId="74" xfId="1" applyFont="1" applyFill="1" applyBorder="1" applyAlignment="1">
      <alignment horizontal="center" vertical="center"/>
    </xf>
    <xf numFmtId="9" fontId="35" fillId="2" borderId="74" xfId="1" applyNumberFormat="1" applyFont="1" applyFill="1" applyBorder="1" applyAlignment="1">
      <alignment horizontal="center" vertical="center"/>
    </xf>
    <xf numFmtId="0" fontId="35" fillId="2" borderId="74" xfId="1" applyNumberFormat="1" applyFont="1" applyFill="1" applyBorder="1" applyAlignment="1">
      <alignment horizontal="center" vertical="center"/>
    </xf>
    <xf numFmtId="0" fontId="35" fillId="2" borderId="68" xfId="0" applyFont="1" applyFill="1" applyBorder="1" applyAlignment="1">
      <alignment vertical="center"/>
    </xf>
    <xf numFmtId="44" fontId="35" fillId="2" borderId="56" xfId="1" applyFont="1" applyFill="1" applyBorder="1" applyAlignment="1">
      <alignment horizontal="center" vertical="center"/>
    </xf>
    <xf numFmtId="9" fontId="35" fillId="2" borderId="56" xfId="1" applyNumberFormat="1" applyFont="1" applyFill="1" applyBorder="1" applyAlignment="1">
      <alignment horizontal="center" vertical="center"/>
    </xf>
    <xf numFmtId="0" fontId="35" fillId="2" borderId="56" xfId="1" applyNumberFormat="1" applyFont="1" applyFill="1" applyBorder="1" applyAlignment="1">
      <alignment horizontal="center" vertical="center"/>
    </xf>
    <xf numFmtId="167" fontId="0" fillId="0" borderId="0" xfId="0" applyNumberFormat="1"/>
    <xf numFmtId="167" fontId="0" fillId="0" borderId="71" xfId="0" applyNumberFormat="1" applyBorder="1"/>
    <xf numFmtId="0" fontId="26" fillId="0" borderId="5" xfId="3" applyBorder="1"/>
    <xf numFmtId="1" fontId="26" fillId="0" borderId="5" xfId="3" applyNumberFormat="1" applyBorder="1"/>
    <xf numFmtId="166" fontId="26" fillId="0" borderId="5" xfId="3" applyNumberFormat="1" applyBorder="1"/>
    <xf numFmtId="167" fontId="0" fillId="0" borderId="5" xfId="0" applyNumberFormat="1" applyBorder="1"/>
    <xf numFmtId="0" fontId="48" fillId="0" borderId="0" xfId="3" applyFont="1" applyAlignment="1">
      <alignment horizontal="left" vertical="center"/>
    </xf>
    <xf numFmtId="0" fontId="35" fillId="2" borderId="0" xfId="0" applyFont="1" applyFill="1" applyAlignment="1">
      <alignment vertical="center"/>
    </xf>
    <xf numFmtId="0" fontId="35" fillId="2" borderId="0" xfId="1" applyNumberFormat="1" applyFont="1" applyFill="1" applyBorder="1" applyAlignment="1">
      <alignment horizontal="center" vertical="center"/>
    </xf>
    <xf numFmtId="44" fontId="35" fillId="2" borderId="0" xfId="1" applyFont="1" applyFill="1" applyBorder="1" applyAlignment="1">
      <alignment horizontal="center" vertical="center"/>
    </xf>
    <xf numFmtId="9" fontId="35" fillId="2" borderId="0" xfId="0" applyNumberFormat="1" applyFont="1" applyFill="1" applyAlignment="1">
      <alignment horizontal="center" vertical="center"/>
    </xf>
    <xf numFmtId="9" fontId="14" fillId="2" borderId="0" xfId="0" applyNumberFormat="1" applyFont="1" applyFill="1" applyAlignment="1">
      <alignment horizontal="center" vertical="center"/>
    </xf>
    <xf numFmtId="0" fontId="35" fillId="2" borderId="84" xfId="0" applyFont="1" applyFill="1" applyBorder="1" applyAlignment="1">
      <alignment vertical="center"/>
    </xf>
    <xf numFmtId="44" fontId="35" fillId="2" borderId="84" xfId="1" applyFont="1" applyFill="1" applyBorder="1" applyAlignment="1">
      <alignment horizontal="center" vertical="center"/>
    </xf>
    <xf numFmtId="44" fontId="35" fillId="2" borderId="60" xfId="1" applyFont="1" applyFill="1" applyBorder="1" applyAlignment="1">
      <alignment horizontal="center" vertical="center"/>
    </xf>
    <xf numFmtId="44" fontId="35" fillId="2" borderId="68" xfId="1" applyFont="1" applyFill="1" applyBorder="1" applyAlignment="1">
      <alignment horizontal="center" vertical="center"/>
    </xf>
    <xf numFmtId="9" fontId="14" fillId="2" borderId="84" xfId="0" applyNumberFormat="1" applyFont="1" applyFill="1" applyBorder="1" applyAlignment="1">
      <alignment horizontal="center" vertical="center"/>
    </xf>
    <xf numFmtId="9" fontId="14" fillId="2" borderId="60" xfId="0" applyNumberFormat="1" applyFont="1" applyFill="1" applyBorder="1" applyAlignment="1">
      <alignment horizontal="center" vertical="center"/>
    </xf>
    <xf numFmtId="9" fontId="14" fillId="2" borderId="68" xfId="0" applyNumberFormat="1" applyFont="1" applyFill="1" applyBorder="1" applyAlignment="1">
      <alignment horizontal="center" vertical="center"/>
    </xf>
    <xf numFmtId="0" fontId="55" fillId="0" borderId="0" xfId="0" applyFont="1" applyAlignment="1">
      <alignment horizontal="center"/>
    </xf>
    <xf numFmtId="44" fontId="55" fillId="0" borderId="0" xfId="1" applyFont="1" applyFill="1" applyAlignment="1">
      <alignment horizontal="center"/>
    </xf>
    <xf numFmtId="44" fontId="55" fillId="0" borderId="0" xfId="1" applyFont="1" applyFill="1" applyBorder="1" applyAlignment="1">
      <alignment horizontal="center"/>
    </xf>
    <xf numFmtId="44" fontId="48" fillId="0" borderId="72" xfId="1" applyFont="1" applyFill="1" applyBorder="1" applyAlignment="1">
      <alignment horizontal="left" vertical="center"/>
    </xf>
    <xf numFmtId="0" fontId="0" fillId="0" borderId="72" xfId="0" applyBorder="1"/>
    <xf numFmtId="0" fontId="0" fillId="14" borderId="0" xfId="0" applyFill="1" applyAlignment="1">
      <alignment horizontal="center" vertical="center"/>
    </xf>
    <xf numFmtId="166" fontId="55" fillId="0" borderId="0" xfId="1" applyNumberFormat="1" applyFont="1" applyFill="1" applyAlignment="1">
      <alignment horizontal="center"/>
    </xf>
    <xf numFmtId="0" fontId="55" fillId="0" borderId="71" xfId="0" applyFont="1" applyBorder="1" applyAlignment="1">
      <alignment horizontal="center"/>
    </xf>
    <xf numFmtId="1" fontId="46" fillId="16" borderId="5" xfId="0" applyNumberFormat="1" applyFont="1" applyFill="1" applyBorder="1" applyAlignment="1">
      <alignment horizontal="center" vertical="center"/>
    </xf>
    <xf numFmtId="44" fontId="55" fillId="0" borderId="71" xfId="1" applyFont="1" applyFill="1" applyBorder="1" applyAlignment="1">
      <alignment horizontal="center"/>
    </xf>
    <xf numFmtId="9" fontId="36" fillId="0" borderId="57" xfId="2" applyFont="1" applyFill="1" applyBorder="1" applyAlignment="1">
      <alignment horizontal="center" vertical="center"/>
    </xf>
    <xf numFmtId="0" fontId="35" fillId="2" borderId="58" xfId="0" applyFont="1" applyFill="1" applyBorder="1" applyAlignment="1">
      <alignment vertical="center"/>
    </xf>
    <xf numFmtId="0" fontId="36" fillId="0" borderId="85" xfId="0" applyFont="1" applyBorder="1" applyAlignment="1">
      <alignment horizontal="center" vertical="center"/>
    </xf>
    <xf numFmtId="44" fontId="36" fillId="0" borderId="85" xfId="0" applyNumberFormat="1" applyFont="1" applyBorder="1" applyAlignment="1">
      <alignment horizontal="center" vertical="center"/>
    </xf>
    <xf numFmtId="9" fontId="36" fillId="0" borderId="85" xfId="2" applyFont="1" applyFill="1" applyBorder="1" applyAlignment="1">
      <alignment horizontal="center" vertical="center"/>
    </xf>
    <xf numFmtId="0" fontId="48" fillId="15" borderId="0" xfId="3" applyFont="1" applyFill="1" applyAlignment="1">
      <alignment horizontal="left"/>
    </xf>
    <xf numFmtId="1" fontId="48" fillId="15" borderId="0" xfId="3" applyNumberFormat="1" applyFont="1" applyFill="1" applyAlignment="1">
      <alignment horizontal="left"/>
    </xf>
    <xf numFmtId="44" fontId="48" fillId="15" borderId="0" xfId="1" applyFont="1" applyFill="1" applyAlignment="1">
      <alignment horizontal="left" vertical="center"/>
    </xf>
    <xf numFmtId="49" fontId="48" fillId="15" borderId="0" xfId="3" applyNumberFormat="1" applyFont="1" applyFill="1" applyAlignment="1">
      <alignment horizontal="left"/>
    </xf>
    <xf numFmtId="0" fontId="48" fillId="15" borderId="0" xfId="3" applyFont="1" applyFill="1" applyAlignment="1">
      <alignment horizontal="left" vertical="center"/>
    </xf>
    <xf numFmtId="166" fontId="48" fillId="15" borderId="0" xfId="3" applyNumberFormat="1" applyFont="1" applyFill="1" applyAlignment="1">
      <alignment horizontal="left"/>
    </xf>
    <xf numFmtId="167" fontId="48" fillId="15" borderId="0" xfId="3" applyNumberFormat="1" applyFont="1" applyFill="1" applyAlignment="1">
      <alignment horizontal="left"/>
    </xf>
    <xf numFmtId="0" fontId="56" fillId="0" borderId="0" xfId="0" applyFont="1"/>
    <xf numFmtId="0" fontId="48" fillId="2" borderId="5" xfId="0" applyFont="1" applyFill="1" applyBorder="1" applyAlignment="1">
      <alignment horizontal="left" vertical="center"/>
    </xf>
    <xf numFmtId="0" fontId="35" fillId="2" borderId="60" xfId="0" applyFont="1" applyFill="1" applyBorder="1" applyAlignment="1">
      <alignment horizontal="left" vertical="center"/>
    </xf>
    <xf numFmtId="0" fontId="35" fillId="0" borderId="56" xfId="0" applyFont="1" applyBorder="1" applyAlignment="1">
      <alignment vertical="center"/>
    </xf>
    <xf numFmtId="9" fontId="35" fillId="0" borderId="15" xfId="2" applyFont="1" applyFill="1" applyBorder="1" applyAlignment="1">
      <alignment horizontal="center" vertical="center"/>
    </xf>
    <xf numFmtId="9" fontId="35" fillId="0" borderId="15" xfId="0" applyNumberFormat="1" applyFont="1" applyBorder="1" applyAlignment="1">
      <alignment horizontal="center" vertical="center"/>
    </xf>
    <xf numFmtId="0" fontId="14" fillId="3" borderId="26" xfId="0" applyFont="1" applyFill="1" applyBorder="1" applyAlignment="1">
      <alignment vertical="center"/>
    </xf>
    <xf numFmtId="0" fontId="35" fillId="2" borderId="86" xfId="0" applyFont="1" applyFill="1" applyBorder="1" applyAlignment="1">
      <alignment vertical="center"/>
    </xf>
    <xf numFmtId="0" fontId="37" fillId="3" borderId="21" xfId="0" applyFont="1" applyFill="1" applyBorder="1" applyAlignment="1">
      <alignment horizontal="center" vertical="center"/>
    </xf>
    <xf numFmtId="44" fontId="35" fillId="2" borderId="62" xfId="1" applyFont="1" applyFill="1" applyBorder="1" applyAlignment="1">
      <alignment horizontal="center" vertical="center"/>
    </xf>
    <xf numFmtId="0" fontId="35" fillId="0" borderId="0" xfId="1" applyNumberFormat="1" applyFont="1" applyFill="1" applyBorder="1" applyAlignment="1">
      <alignment horizontal="center" vertical="center"/>
    </xf>
    <xf numFmtId="44" fontId="35" fillId="0" borderId="0" xfId="1" applyFont="1" applyFill="1" applyBorder="1" applyAlignment="1">
      <alignment horizontal="center" vertical="center"/>
    </xf>
    <xf numFmtId="9" fontId="14" fillId="0" borderId="0" xfId="0" applyNumberFormat="1" applyFont="1" applyAlignment="1">
      <alignment horizontal="center" vertical="center"/>
    </xf>
    <xf numFmtId="0" fontId="35" fillId="2" borderId="20" xfId="1" applyNumberFormat="1" applyFont="1" applyFill="1" applyBorder="1" applyAlignment="1">
      <alignment horizontal="center" vertical="center"/>
    </xf>
    <xf numFmtId="9" fontId="14" fillId="2" borderId="74" xfId="0" applyNumberFormat="1" applyFont="1" applyFill="1" applyBorder="1" applyAlignment="1">
      <alignment horizontal="center" vertical="center"/>
    </xf>
    <xf numFmtId="0" fontId="35" fillId="2" borderId="87" xfId="0" applyFont="1" applyFill="1" applyBorder="1" applyAlignment="1">
      <alignment vertical="center"/>
    </xf>
    <xf numFmtId="9" fontId="35" fillId="0" borderId="59" xfId="0" applyNumberFormat="1" applyFont="1" applyBorder="1" applyAlignment="1">
      <alignment horizontal="center" vertical="center"/>
    </xf>
    <xf numFmtId="0" fontId="35" fillId="2" borderId="34" xfId="0" applyFont="1" applyFill="1" applyBorder="1" applyAlignment="1">
      <alignment horizontal="center" vertical="center"/>
    </xf>
    <xf numFmtId="0" fontId="35" fillId="0" borderId="57" xfId="1" applyNumberFormat="1" applyFont="1" applyFill="1" applyBorder="1" applyAlignment="1">
      <alignment horizontal="center" vertical="center"/>
    </xf>
    <xf numFmtId="0" fontId="35" fillId="0" borderId="7" xfId="1" applyNumberFormat="1" applyFont="1" applyFill="1" applyBorder="1" applyAlignment="1">
      <alignment horizontal="center" vertical="center"/>
    </xf>
    <xf numFmtId="0" fontId="35" fillId="2" borderId="78" xfId="0" applyFont="1" applyFill="1" applyBorder="1" applyAlignment="1">
      <alignment vertical="center"/>
    </xf>
    <xf numFmtId="0" fontId="35" fillId="2" borderId="77" xfId="1" applyNumberFormat="1" applyFont="1" applyFill="1" applyBorder="1" applyAlignment="1">
      <alignment horizontal="center" vertical="center"/>
    </xf>
    <xf numFmtId="44" fontId="35" fillId="2" borderId="77" xfId="1" applyFont="1" applyFill="1" applyBorder="1" applyAlignment="1">
      <alignment horizontal="center" vertical="center"/>
    </xf>
    <xf numFmtId="9" fontId="35" fillId="2" borderId="77" xfId="0" applyNumberFormat="1" applyFont="1" applyFill="1" applyBorder="1" applyAlignment="1">
      <alignment horizontal="center" vertical="center"/>
    </xf>
    <xf numFmtId="9" fontId="14" fillId="2" borderId="77" xfId="0" applyNumberFormat="1" applyFont="1" applyFill="1" applyBorder="1" applyAlignment="1">
      <alignment horizontal="center" vertical="center"/>
    </xf>
    <xf numFmtId="0" fontId="35" fillId="2" borderId="56" xfId="0" applyFont="1" applyFill="1" applyBorder="1" applyAlignment="1">
      <alignment vertical="center"/>
    </xf>
    <xf numFmtId="44" fontId="35" fillId="0" borderId="56" xfId="1" applyFont="1" applyBorder="1" applyAlignment="1">
      <alignment horizontal="center" vertical="center"/>
    </xf>
    <xf numFmtId="9" fontId="35" fillId="0" borderId="77" xfId="1" applyNumberFormat="1" applyFont="1" applyBorder="1" applyAlignment="1">
      <alignment horizontal="center" vertical="center"/>
    </xf>
    <xf numFmtId="9" fontId="35" fillId="0" borderId="63" xfId="1" applyNumberFormat="1" applyFont="1" applyBorder="1" applyAlignment="1">
      <alignment horizontal="center" vertical="center"/>
    </xf>
    <xf numFmtId="0" fontId="35" fillId="2" borderId="4" xfId="0" applyFont="1" applyFill="1" applyBorder="1" applyAlignment="1">
      <alignment vertical="center"/>
    </xf>
    <xf numFmtId="0" fontId="53" fillId="0" borderId="5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166" fontId="46" fillId="0" borderId="5" xfId="1" applyNumberFormat="1" applyFont="1" applyFill="1" applyBorder="1" applyAlignment="1">
      <alignment horizontal="center" vertical="center"/>
    </xf>
    <xf numFmtId="0" fontId="53" fillId="0" borderId="71" xfId="0" applyFont="1" applyBorder="1" applyAlignment="1">
      <alignment horizontal="center" vertical="center"/>
    </xf>
    <xf numFmtId="166" fontId="46" fillId="0" borderId="71" xfId="1" applyNumberFormat="1" applyFont="1" applyFill="1" applyBorder="1" applyAlignment="1">
      <alignment horizontal="center" vertical="center"/>
    </xf>
    <xf numFmtId="44" fontId="36" fillId="0" borderId="58" xfId="0" applyNumberFormat="1" applyFont="1" applyBorder="1" applyAlignment="1">
      <alignment horizontal="center" vertical="center"/>
    </xf>
    <xf numFmtId="0" fontId="36" fillId="0" borderId="57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44" fontId="36" fillId="0" borderId="5" xfId="0" applyNumberFormat="1" applyFont="1" applyBorder="1" applyAlignment="1">
      <alignment horizontal="center" vertical="center"/>
    </xf>
    <xf numFmtId="0" fontId="36" fillId="0" borderId="5" xfId="0" applyFont="1" applyBorder="1" applyAlignment="1">
      <alignment horizontal="center"/>
    </xf>
    <xf numFmtId="0" fontId="35" fillId="0" borderId="58" xfId="1" applyNumberFormat="1" applyFont="1" applyFill="1" applyBorder="1" applyAlignment="1">
      <alignment horizontal="center" vertical="center"/>
    </xf>
    <xf numFmtId="0" fontId="35" fillId="0" borderId="4" xfId="1" applyNumberFormat="1" applyFont="1" applyFill="1" applyBorder="1" applyAlignment="1">
      <alignment horizontal="center" vertical="center"/>
    </xf>
    <xf numFmtId="44" fontId="35" fillId="0" borderId="58" xfId="1" applyFont="1" applyFill="1" applyBorder="1" applyAlignment="1">
      <alignment horizontal="center" vertical="center"/>
    </xf>
    <xf numFmtId="44" fontId="35" fillId="0" borderId="57" xfId="1" applyFont="1" applyFill="1" applyBorder="1" applyAlignment="1">
      <alignment horizontal="center" vertical="center"/>
    </xf>
    <xf numFmtId="0" fontId="35" fillId="2" borderId="54" xfId="0" applyFont="1" applyFill="1" applyBorder="1" applyAlignment="1">
      <alignment vertical="center"/>
    </xf>
    <xf numFmtId="9" fontId="35" fillId="0" borderId="57" xfId="2" applyFont="1" applyFill="1" applyBorder="1" applyAlignment="1">
      <alignment horizontal="center" vertical="center"/>
    </xf>
    <xf numFmtId="9" fontId="35" fillId="0" borderId="57" xfId="0" applyNumberFormat="1" applyFont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34" xfId="0" applyFont="1" applyFill="1" applyBorder="1" applyAlignment="1">
      <alignment horizontal="center" vertical="center"/>
    </xf>
    <xf numFmtId="0" fontId="14" fillId="2" borderId="32" xfId="0" applyFont="1" applyFill="1" applyBorder="1" applyAlignment="1">
      <alignment horizontal="center" vertical="center"/>
    </xf>
    <xf numFmtId="0" fontId="35" fillId="0" borderId="74" xfId="1" applyNumberFormat="1" applyFont="1" applyBorder="1" applyAlignment="1">
      <alignment horizontal="center" vertical="center"/>
    </xf>
    <xf numFmtId="44" fontId="35" fillId="0" borderId="84" xfId="1" applyFont="1" applyBorder="1" applyAlignment="1">
      <alignment horizontal="center" vertical="center"/>
    </xf>
    <xf numFmtId="9" fontId="35" fillId="0" borderId="74" xfId="1" applyNumberFormat="1" applyFont="1" applyBorder="1" applyAlignment="1">
      <alignment horizontal="center" vertical="center"/>
    </xf>
    <xf numFmtId="9" fontId="35" fillId="0" borderId="84" xfId="1" applyNumberFormat="1" applyFont="1" applyBorder="1" applyAlignment="1">
      <alignment horizontal="center" vertical="center"/>
    </xf>
    <xf numFmtId="0" fontId="15" fillId="0" borderId="34" xfId="0" applyFont="1" applyBorder="1" applyAlignment="1">
      <alignment horizontal="left"/>
    </xf>
    <xf numFmtId="0" fontId="15" fillId="0" borderId="33" xfId="0" applyFont="1" applyBorder="1" applyAlignment="1">
      <alignment horizontal="left"/>
    </xf>
    <xf numFmtId="0" fontId="4" fillId="4" borderId="26" xfId="0" applyFont="1" applyFill="1" applyBorder="1" applyAlignment="1">
      <alignment horizontal="center"/>
    </xf>
    <xf numFmtId="0" fontId="4" fillId="4" borderId="28" xfId="0" applyFont="1" applyFill="1" applyBorder="1" applyAlignment="1">
      <alignment horizontal="center"/>
    </xf>
    <xf numFmtId="0" fontId="10" fillId="2" borderId="6" xfId="0" applyFont="1" applyFill="1" applyBorder="1" applyAlignment="1">
      <alignment horizontal="left"/>
    </xf>
    <xf numFmtId="0" fontId="10" fillId="2" borderId="5" xfId="0" applyFont="1" applyFill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8" fillId="0" borderId="6" xfId="0" applyFont="1" applyBorder="1" applyAlignment="1">
      <alignment horizontal="left"/>
    </xf>
    <xf numFmtId="0" fontId="18" fillId="0" borderId="5" xfId="0" applyFont="1" applyBorder="1" applyAlignment="1">
      <alignment horizontal="left"/>
    </xf>
    <xf numFmtId="0" fontId="15" fillId="0" borderId="14" xfId="0" applyFont="1" applyBorder="1" applyAlignment="1">
      <alignment horizontal="left"/>
    </xf>
    <xf numFmtId="0" fontId="15" fillId="0" borderId="35" xfId="0" applyFont="1" applyBorder="1" applyAlignment="1">
      <alignment horizontal="left"/>
    </xf>
    <xf numFmtId="0" fontId="10" fillId="2" borderId="9" xfId="0" applyFont="1" applyFill="1" applyBorder="1" applyAlignment="1">
      <alignment horizontal="left"/>
    </xf>
    <xf numFmtId="0" fontId="10" fillId="2" borderId="8" xfId="0" applyFont="1" applyFill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0" fillId="0" borderId="5" xfId="0" applyFont="1" applyBorder="1" applyAlignment="1">
      <alignment horizontal="left"/>
    </xf>
    <xf numFmtId="0" fontId="4" fillId="4" borderId="23" xfId="0" applyFont="1" applyFill="1" applyBorder="1" applyAlignment="1">
      <alignment horizontal="left"/>
    </xf>
    <xf numFmtId="0" fontId="4" fillId="4" borderId="39" xfId="0" applyFont="1" applyFill="1" applyBorder="1" applyAlignment="1">
      <alignment horizontal="left"/>
    </xf>
    <xf numFmtId="0" fontId="10" fillId="0" borderId="19" xfId="0" applyFont="1" applyBorder="1" applyAlignment="1">
      <alignment horizontal="left"/>
    </xf>
    <xf numFmtId="0" fontId="10" fillId="0" borderId="17" xfId="0" applyFont="1" applyBorder="1" applyAlignment="1">
      <alignment horizontal="left"/>
    </xf>
    <xf numFmtId="0" fontId="10" fillId="2" borderId="3" xfId="0" applyFont="1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22" fillId="0" borderId="0" xfId="0" applyFont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 vertical="center"/>
    </xf>
    <xf numFmtId="0" fontId="18" fillId="0" borderId="19" xfId="0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5" fillId="0" borderId="32" xfId="0" applyFont="1" applyBorder="1" applyAlignment="1">
      <alignment horizontal="left"/>
    </xf>
    <xf numFmtId="0" fontId="15" fillId="0" borderId="31" xfId="0" applyFont="1" applyBorder="1" applyAlignment="1">
      <alignment horizontal="left"/>
    </xf>
    <xf numFmtId="0" fontId="15" fillId="2" borderId="34" xfId="0" applyFont="1" applyFill="1" applyBorder="1" applyAlignment="1">
      <alignment horizontal="left"/>
    </xf>
    <xf numFmtId="0" fontId="15" fillId="2" borderId="33" xfId="0" applyFont="1" applyFill="1" applyBorder="1" applyAlignment="1">
      <alignment horizontal="left"/>
    </xf>
    <xf numFmtId="0" fontId="5" fillId="4" borderId="12" xfId="0" applyFont="1" applyFill="1" applyBorder="1" applyAlignment="1">
      <alignment horizontal="left"/>
    </xf>
    <xf numFmtId="0" fontId="5" fillId="4" borderId="11" xfId="0" applyFont="1" applyFill="1" applyBorder="1" applyAlignment="1">
      <alignment horizontal="left"/>
    </xf>
    <xf numFmtId="0" fontId="43" fillId="0" borderId="65" xfId="0" applyFont="1" applyBorder="1" applyAlignment="1">
      <alignment horizontal="center" vertical="center"/>
    </xf>
    <xf numFmtId="0" fontId="43" fillId="0" borderId="63" xfId="0" applyFont="1" applyBorder="1" applyAlignment="1">
      <alignment horizontal="center" vertical="center"/>
    </xf>
    <xf numFmtId="0" fontId="43" fillId="0" borderId="64" xfId="0" applyFont="1" applyBorder="1" applyAlignment="1">
      <alignment horizontal="center" vertical="center"/>
    </xf>
    <xf numFmtId="0" fontId="43" fillId="0" borderId="69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3" fillId="0" borderId="70" xfId="0" applyFont="1" applyBorder="1" applyAlignment="1">
      <alignment horizontal="center" vertical="center"/>
    </xf>
    <xf numFmtId="0" fontId="43" fillId="0" borderId="66" xfId="0" applyFont="1" applyBorder="1" applyAlignment="1">
      <alignment horizontal="center" vertical="center"/>
    </xf>
    <xf numFmtId="0" fontId="43" fillId="0" borderId="62" xfId="0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 textRotation="90"/>
    </xf>
    <xf numFmtId="0" fontId="14" fillId="4" borderId="13" xfId="0" applyFont="1" applyFill="1" applyBorder="1" applyAlignment="1">
      <alignment horizontal="center" vertical="center" textRotation="90"/>
    </xf>
    <xf numFmtId="0" fontId="14" fillId="4" borderId="22" xfId="0" applyFont="1" applyFill="1" applyBorder="1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8" fillId="7" borderId="26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14" fillId="4" borderId="20" xfId="0" applyFont="1" applyFill="1" applyBorder="1" applyAlignment="1">
      <alignment horizontal="center" vertical="center" textRotation="90"/>
    </xf>
    <xf numFmtId="0" fontId="14" fillId="4" borderId="16" xfId="0" applyFont="1" applyFill="1" applyBorder="1" applyAlignment="1">
      <alignment horizontal="center" vertical="center" textRotation="90"/>
    </xf>
    <xf numFmtId="0" fontId="14" fillId="4" borderId="15" xfId="0" applyFont="1" applyFill="1" applyBorder="1" applyAlignment="1">
      <alignment horizontal="center" vertical="center" textRotation="90"/>
    </xf>
    <xf numFmtId="0" fontId="7" fillId="4" borderId="20" xfId="0" applyFont="1" applyFill="1" applyBorder="1" applyAlignment="1">
      <alignment horizontal="center" vertical="center" textRotation="90"/>
    </xf>
    <xf numFmtId="0" fontId="7" fillId="4" borderId="16" xfId="0" applyFont="1" applyFill="1" applyBorder="1" applyAlignment="1">
      <alignment horizontal="center" vertical="center" textRotation="90"/>
    </xf>
    <xf numFmtId="0" fontId="14" fillId="3" borderId="20" xfId="0" applyFont="1" applyFill="1" applyBorder="1" applyAlignment="1">
      <alignment horizontal="center" vertical="center" textRotation="90"/>
    </xf>
    <xf numFmtId="0" fontId="14" fillId="3" borderId="13" xfId="0" applyFont="1" applyFill="1" applyBorder="1" applyAlignment="1">
      <alignment horizontal="center" vertical="center" textRotation="90"/>
    </xf>
    <xf numFmtId="0" fontId="8" fillId="7" borderId="13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14" fillId="4" borderId="74" xfId="0" applyFont="1" applyFill="1" applyBorder="1" applyAlignment="1">
      <alignment horizontal="center" vertical="center" textRotation="90"/>
    </xf>
    <xf numFmtId="0" fontId="14" fillId="4" borderId="57" xfId="0" applyFont="1" applyFill="1" applyBorder="1" applyAlignment="1">
      <alignment horizontal="center" vertical="center" textRotation="90"/>
    </xf>
    <xf numFmtId="0" fontId="13" fillId="4" borderId="20" xfId="0" applyFont="1" applyFill="1" applyBorder="1" applyAlignment="1">
      <alignment horizontal="center" vertical="center" textRotation="90"/>
    </xf>
    <xf numFmtId="0" fontId="13" fillId="4" borderId="16" xfId="0" applyFont="1" applyFill="1" applyBorder="1" applyAlignment="1">
      <alignment horizontal="center" vertical="center" textRotation="90"/>
    </xf>
    <xf numFmtId="0" fontId="13" fillId="4" borderId="15" xfId="0" applyFont="1" applyFill="1" applyBorder="1" applyAlignment="1">
      <alignment horizontal="center" vertical="center" textRotation="90"/>
    </xf>
    <xf numFmtId="0" fontId="14" fillId="3" borderId="74" xfId="0" applyFont="1" applyFill="1" applyBorder="1" applyAlignment="1">
      <alignment horizontal="center" vertical="center" textRotation="90"/>
    </xf>
    <xf numFmtId="0" fontId="14" fillId="3" borderId="58" xfId="0" applyFont="1" applyFill="1" applyBorder="1" applyAlignment="1">
      <alignment horizontal="center" vertical="center" textRotation="90"/>
    </xf>
    <xf numFmtId="0" fontId="14" fillId="3" borderId="56" xfId="0" applyFont="1" applyFill="1" applyBorder="1" applyAlignment="1">
      <alignment horizontal="center" vertical="center" textRotation="90"/>
    </xf>
    <xf numFmtId="0" fontId="54" fillId="7" borderId="23" xfId="0" applyFont="1" applyFill="1" applyBorder="1" applyAlignment="1">
      <alignment horizontal="center" vertical="center"/>
    </xf>
    <xf numFmtId="0" fontId="54" fillId="7" borderId="54" xfId="0" applyFont="1" applyFill="1" applyBorder="1" applyAlignment="1">
      <alignment horizontal="center" vertical="center"/>
    </xf>
    <xf numFmtId="0" fontId="54" fillId="7" borderId="53" xfId="0" applyFont="1" applyFill="1" applyBorder="1" applyAlignment="1">
      <alignment horizontal="center" vertical="center"/>
    </xf>
    <xf numFmtId="0" fontId="54" fillId="7" borderId="13" xfId="0" applyFont="1" applyFill="1" applyBorder="1" applyAlignment="1">
      <alignment horizontal="center" vertical="center"/>
    </xf>
    <xf numFmtId="0" fontId="54" fillId="7" borderId="0" xfId="0" applyFont="1" applyFill="1" applyAlignment="1">
      <alignment horizontal="center" vertical="center"/>
    </xf>
    <xf numFmtId="0" fontId="28" fillId="9" borderId="0" xfId="3" applyFont="1" applyFill="1" applyAlignment="1">
      <alignment horizontal="center"/>
    </xf>
    <xf numFmtId="0" fontId="32" fillId="11" borderId="0" xfId="3" applyFont="1" applyFill="1" applyAlignment="1">
      <alignment horizontal="center" vertical="center"/>
    </xf>
    <xf numFmtId="0" fontId="33" fillId="11" borderId="0" xfId="3" applyFont="1" applyFill="1" applyAlignment="1">
      <alignment horizontal="center" vertical="center"/>
    </xf>
    <xf numFmtId="0" fontId="33" fillId="12" borderId="0" xfId="3" applyFont="1" applyFill="1" applyAlignment="1">
      <alignment horizontal="center" vertical="center"/>
    </xf>
    <xf numFmtId="0" fontId="33" fillId="13" borderId="0" xfId="3" applyFont="1" applyFill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25" fillId="3" borderId="54" xfId="0" applyFont="1" applyFill="1" applyBorder="1" applyAlignment="1">
      <alignment horizontal="center" vertical="center"/>
    </xf>
    <xf numFmtId="0" fontId="25" fillId="3" borderId="53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0" fontId="25" fillId="3" borderId="27" xfId="0" applyFont="1" applyFill="1" applyBorder="1" applyAlignment="1">
      <alignment horizontal="center" vertical="center"/>
    </xf>
    <xf numFmtId="0" fontId="25" fillId="3" borderId="52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</cellXfs>
  <cellStyles count="6">
    <cellStyle name="Milliers" xfId="4" builtinId="3"/>
    <cellStyle name="Monétaire" xfId="1" builtinId="4"/>
    <cellStyle name="Monétaire 2" xfId="5" xr:uid="{961E88BB-FF0D-4099-BA1D-CD6C42E6E6E1}"/>
    <cellStyle name="Normal" xfId="0" builtinId="0"/>
    <cellStyle name="Normal 2" xfId="3" xr:uid="{91DE4505-1F2C-4FE3-92C9-E7360A090C9C}"/>
    <cellStyle name="Pourcentage" xfId="2" builtinId="5"/>
  </cellStyles>
  <dxfs count="368"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theme="6" tint="0.39997558519241921"/>
        </top>
      </border>
    </dxf>
    <dxf>
      <border outline="0">
        <bottom style="thin">
          <color theme="6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4" formatCode="_ * #,##0.00_)\ &quot;$&quot;_ ;_ * \(#,##0.00\)\ &quot;$&quot;_ ;_ * &quot;-&quot;??_)\ &quot;$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30" formatCode="@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6" formatCode="#,##0.00\ [$$-40C]"/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30" formatCode="@"/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30" formatCode="@"/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" formatCode="0"/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theme="6" tint="0.79998168889431442"/>
          <bgColor auto="1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2" formatCode="0.00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66" formatCode="#,##0.00\ [$$-40C]"/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numFmt numFmtId="1" formatCode="0"/>
      <fill>
        <patternFill patternType="solid">
          <fgColor theme="6" tint="0.79998168889431442"/>
          <bgColor theme="6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6"/>
        </top>
        <bottom style="thin">
          <color theme="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  <fill>
        <patternFill patternType="solid">
          <fgColor theme="6" tint="0.79998168889431442"/>
          <bgColor theme="6" tint="0.79998168889431442"/>
        </patternFill>
      </fill>
    </dxf>
    <dxf>
      <border outline="0"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Tahoma"/>
        <family val="2"/>
        <scheme val="none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7" formatCode="#,##0.00\ [$$-C0C];\(#,##0.00[$$-C0C]\)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7" formatCode="#,##0.00\ [$$-C0C];\(#,##0.00[$$-C0C]\)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numFmt numFmtId="167" formatCode="#,##0.00\ [$$-C0C];\(#,##0.00[$$-C0C]\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numFmt numFmtId="167" formatCode="#,##0.00\ [$$-C0C];\(#,##0.00[$$-C0C]\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66" formatCode="#,##0.00\ [$$-40C]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66" formatCode="#,##0.00\ [$$-40C]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66" formatCode="#,##0.00\ [$$-40C]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Tahom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vertical="center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medium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vertical="center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none">
          <fgColor indexed="64"/>
          <bgColor auto="1"/>
        </patternFill>
      </fill>
      <alignment vertical="center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vertical="center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alignment vertical="center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Gilroy Medium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Medium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>
          <fgColor indexed="64"/>
          <bgColor theme="0"/>
        </patternFill>
      </fill>
      <alignment vertical="center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Medium"/>
        <family val="3"/>
        <scheme val="none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13" formatCode="0%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Gilroy Medium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Gilroy Medium"/>
        <family val="3"/>
        <scheme val="none"/>
      </font>
      <numFmt numFmtId="34" formatCode="_ * #,##0.00_)\ &quot;$&quot;_ ;_ * \(#,##0.00\)\ &quot;$&quot;_ ;_ * &quot;-&quot;??_)\ &quot;$&quot;_ ;_ @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Gilroy Medium"/>
        <family val="3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Gilroy ExtraBold"/>
        <family val="3"/>
        <scheme val="none"/>
      </font>
      <fill>
        <patternFill>
          <fgColor indexed="64"/>
          <bgColor theme="0"/>
        </patternFill>
      </fill>
      <alignment vertical="center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8"/>
        <name val="Gilroy ExtraBold"/>
        <family val="3"/>
        <scheme val="none"/>
      </font>
      <alignment vertical="center" wrapText="0" indent="0" justifyLastLine="0" shrinkToFit="0" readingOrder="0"/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46A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0</xdr:row>
          <xdr:rowOff>38100</xdr:rowOff>
        </xdr:from>
        <xdr:to>
          <xdr:col>6</xdr:col>
          <xdr:colOff>895350</xdr:colOff>
          <xdr:row>0</xdr:row>
          <xdr:rowOff>352425</xdr:rowOff>
        </xdr:to>
        <xdr:sp macro="" textlink="">
          <xdr:nvSpPr>
            <xdr:cNvPr id="2049" name="Bouton 2" descr="Ajouter lign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87</xdr:row>
          <xdr:rowOff>0</xdr:rowOff>
        </xdr:from>
        <xdr:to>
          <xdr:col>12</xdr:col>
          <xdr:colOff>638175</xdr:colOff>
          <xdr:row>87</xdr:row>
          <xdr:rowOff>485775</xdr:rowOff>
        </xdr:to>
        <xdr:sp macro="" textlink="">
          <xdr:nvSpPr>
            <xdr:cNvPr id="2050" name="Bouton 5" descr="Ajouter lign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18</xdr:row>
          <xdr:rowOff>0</xdr:rowOff>
        </xdr:from>
        <xdr:to>
          <xdr:col>18</xdr:col>
          <xdr:colOff>419100</xdr:colOff>
          <xdr:row>20</xdr:row>
          <xdr:rowOff>9525</xdr:rowOff>
        </xdr:to>
        <xdr:sp macro="" textlink="">
          <xdr:nvSpPr>
            <xdr:cNvPr id="2051" name="Bouton 6" descr="Ajouter lign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31</xdr:row>
          <xdr:rowOff>19050</xdr:rowOff>
        </xdr:from>
        <xdr:to>
          <xdr:col>6</xdr:col>
          <xdr:colOff>866775</xdr:colOff>
          <xdr:row>32</xdr:row>
          <xdr:rowOff>19050</xdr:rowOff>
        </xdr:to>
        <xdr:sp macro="" textlink="">
          <xdr:nvSpPr>
            <xdr:cNvPr id="2052" name="Button 4" descr="Ajouter lign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19</xdr:row>
          <xdr:rowOff>19050</xdr:rowOff>
        </xdr:from>
        <xdr:to>
          <xdr:col>6</xdr:col>
          <xdr:colOff>933450</xdr:colOff>
          <xdr:row>20</xdr:row>
          <xdr:rowOff>9525</xdr:rowOff>
        </xdr:to>
        <xdr:sp macro="" textlink="">
          <xdr:nvSpPr>
            <xdr:cNvPr id="2053" name="Button 5" descr="Ajouter lign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18</xdr:row>
          <xdr:rowOff>0</xdr:rowOff>
        </xdr:from>
        <xdr:to>
          <xdr:col>18</xdr:col>
          <xdr:colOff>419100</xdr:colOff>
          <xdr:row>20</xdr:row>
          <xdr:rowOff>9525</xdr:rowOff>
        </xdr:to>
        <xdr:sp macro="" textlink="">
          <xdr:nvSpPr>
            <xdr:cNvPr id="2054" name="Button 6" descr="Ajouter lign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590550</xdr:colOff>
          <xdr:row>18</xdr:row>
          <xdr:rowOff>0</xdr:rowOff>
        </xdr:from>
        <xdr:to>
          <xdr:col>18</xdr:col>
          <xdr:colOff>419100</xdr:colOff>
          <xdr:row>19</xdr:row>
          <xdr:rowOff>133350</xdr:rowOff>
        </xdr:to>
        <xdr:sp macro="" textlink="">
          <xdr:nvSpPr>
            <xdr:cNvPr id="2055" name="Button 7" descr="Ajouter lign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714375</xdr:colOff>
          <xdr:row>44</xdr:row>
          <xdr:rowOff>28575</xdr:rowOff>
        </xdr:from>
        <xdr:to>
          <xdr:col>6</xdr:col>
          <xdr:colOff>895350</xdr:colOff>
          <xdr:row>45</xdr:row>
          <xdr:rowOff>47625</xdr:rowOff>
        </xdr:to>
        <xdr:sp macro="" textlink="">
          <xdr:nvSpPr>
            <xdr:cNvPr id="2056" name="Button 8" descr="Ajouter lign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175260</xdr:rowOff>
    </xdr:from>
    <xdr:to>
      <xdr:col>2</xdr:col>
      <xdr:colOff>505385</xdr:colOff>
      <xdr:row>5</xdr:row>
      <xdr:rowOff>66675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" y="365760"/>
          <a:ext cx="1153085" cy="653415"/>
        </a:xfrm>
        <a:prstGeom prst="rect">
          <a:avLst/>
        </a:prstGeom>
      </xdr:spPr>
    </xdr:pic>
    <xdr:clientData/>
  </xdr:twoCellAnchor>
  <xdr:twoCellAnchor editAs="oneCell">
    <xdr:from>
      <xdr:col>9</xdr:col>
      <xdr:colOff>200025</xdr:colOff>
      <xdr:row>1</xdr:row>
      <xdr:rowOff>19050</xdr:rowOff>
    </xdr:from>
    <xdr:to>
      <xdr:col>10</xdr:col>
      <xdr:colOff>352425</xdr:colOff>
      <xdr:row>5</xdr:row>
      <xdr:rowOff>171450</xdr:rowOff>
    </xdr:to>
    <xdr:pic>
      <xdr:nvPicPr>
        <xdr:cNvPr id="5" name="Graphique 4" descr="Question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58025" y="20955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180975</xdr:rowOff>
        </xdr:from>
        <xdr:to>
          <xdr:col>1</xdr:col>
          <xdr:colOff>1276350</xdr:colOff>
          <xdr:row>0</xdr:row>
          <xdr:rowOff>904875</xdr:rowOff>
        </xdr:to>
        <xdr:sp macro="" textlink="">
          <xdr:nvSpPr>
            <xdr:cNvPr id="1076" name="Bouton 2" descr="Ajouter lign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3609975</xdr:colOff>
          <xdr:row>0</xdr:row>
          <xdr:rowOff>161925</xdr:rowOff>
        </xdr:from>
        <xdr:to>
          <xdr:col>1</xdr:col>
          <xdr:colOff>5772150</xdr:colOff>
          <xdr:row>0</xdr:row>
          <xdr:rowOff>885825</xdr:rowOff>
        </xdr:to>
        <xdr:sp macro="" textlink="">
          <xdr:nvSpPr>
            <xdr:cNvPr id="1100" name="Button 76" descr="Ajouter lign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3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Formats + hasch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1371600</xdr:colOff>
          <xdr:row>0</xdr:row>
          <xdr:rowOff>180975</xdr:rowOff>
        </xdr:from>
        <xdr:to>
          <xdr:col>1</xdr:col>
          <xdr:colOff>3533775</xdr:colOff>
          <xdr:row>0</xdr:row>
          <xdr:rowOff>904875</xdr:rowOff>
        </xdr:to>
        <xdr:sp macro="" textlink="">
          <xdr:nvSpPr>
            <xdr:cNvPr id="1109" name="Bouton 2" descr="Ajouter ligne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3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Trier</a:t>
              </a:r>
            </a:p>
            <a:p>
              <a:pPr algn="ctr" rtl="0">
                <a:defRPr sz="1000"/>
              </a:pPr>
              <a:endParaRPr lang="fr-CA" sz="1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0</xdr:row>
          <xdr:rowOff>47625</xdr:rowOff>
        </xdr:from>
        <xdr:to>
          <xdr:col>1</xdr:col>
          <xdr:colOff>3743325</xdr:colOff>
          <xdr:row>0</xdr:row>
          <xdr:rowOff>771525</xdr:rowOff>
        </xdr:to>
        <xdr:sp macro="" textlink="">
          <xdr:nvSpPr>
            <xdr:cNvPr id="7169" name="Button 1" descr="Ajouter lign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Trié hasch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0</xdr:row>
          <xdr:rowOff>47625</xdr:rowOff>
        </xdr:from>
        <xdr:to>
          <xdr:col>1</xdr:col>
          <xdr:colOff>1419225</xdr:colOff>
          <xdr:row>0</xdr:row>
          <xdr:rowOff>771525</xdr:rowOff>
        </xdr:to>
        <xdr:sp macro="" textlink="">
          <xdr:nvSpPr>
            <xdr:cNvPr id="7172" name="Button 4" descr="Ajouter lig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3790950</xdr:colOff>
          <xdr:row>0</xdr:row>
          <xdr:rowOff>47625</xdr:rowOff>
        </xdr:from>
        <xdr:to>
          <xdr:col>2</xdr:col>
          <xdr:colOff>114300</xdr:colOff>
          <xdr:row>0</xdr:row>
          <xdr:rowOff>771525</xdr:rowOff>
        </xdr:to>
        <xdr:sp macro="" textlink="">
          <xdr:nvSpPr>
            <xdr:cNvPr id="7174" name="Button 6" descr="Ajouter ligne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gros format + Hasch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41</xdr:row>
          <xdr:rowOff>0</xdr:rowOff>
        </xdr:from>
        <xdr:to>
          <xdr:col>14</xdr:col>
          <xdr:colOff>66675</xdr:colOff>
          <xdr:row>43</xdr:row>
          <xdr:rowOff>104775</xdr:rowOff>
        </xdr:to>
        <xdr:sp macro="" textlink="">
          <xdr:nvSpPr>
            <xdr:cNvPr id="7176" name="Button 8" descr="Ajouter lign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ligne</a:t>
              </a:r>
            </a:p>
            <a:p>
              <a:pPr algn="ctr" rtl="0">
                <a:defRPr sz="1000"/>
              </a:pPr>
              <a:endParaRPr lang="fr-C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nu%20Pr&#233;roul&#233;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ment ca marche!"/>
      <sheetName val="Préroulés (O)"/>
      <sheetName val="77004"/>
      <sheetName val="77005"/>
      <sheetName val="77007"/>
      <sheetName val="77008"/>
      <sheetName val="77010"/>
      <sheetName val="77036"/>
      <sheetName val="77037"/>
      <sheetName val="77044"/>
      <sheetName val="77052"/>
      <sheetName val="77056"/>
      <sheetName val="77074"/>
      <sheetName val="77083"/>
      <sheetName val="Base Préroués"/>
      <sheetName val="Menu Préroulé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FFD9002-308E-4FE9-A0E4-6B71B069A7BE}" name="Fleurs_1g" displayName="Fleurs_1g" ref="B4:G10" totalsRowShown="0" headerRowDxfId="365" dataDxfId="363" headerRowBorderDxfId="364" tableBorderDxfId="362">
  <autoFilter ref="B4:G10" xr:uid="{8547DD42-5D09-4DF0-B8C6-2ABDC20F0191}"/>
  <sortState xmlns:xlrd2="http://schemas.microsoft.com/office/spreadsheetml/2017/richdata2" ref="B5:G10">
    <sortCondition descending="1" ref="E5:E10"/>
    <sortCondition ref="F5:F10"/>
  </sortState>
  <tableColumns count="6">
    <tableColumn id="1" xr3:uid="{1535D1C2-C2F2-476C-9F2A-021A460D79BA}" name="Nom" dataDxfId="361" totalsRowDxfId="360"/>
    <tableColumn id="2" xr3:uid="{38A5F488-D012-46CF-9314-BE59EF9BDE65}" name="Marque" dataDxfId="359" totalsRowDxfId="358" dataCellStyle="Monétaire">
      <calculatedColumnFormula>VLOOKUP(B5,Tableau17[],8,FALSE)</calculatedColumnFormula>
    </tableColumn>
    <tableColumn id="3" xr3:uid="{397EDA0C-6A91-4A47-A7D8-771003B65119}" name="Prix" dataDxfId="357" totalsRowDxfId="356" dataCellStyle="Monétaire">
      <calculatedColumnFormula>VLOOKUP(B5,Tableau17[],11,FALSE)</calculatedColumnFormula>
    </tableColumn>
    <tableColumn id="4" xr3:uid="{5D130F6F-DC2B-4EAE-A16D-539FFE373FC9}" name="THC" dataDxfId="355" totalsRowDxfId="354"/>
    <tableColumn id="5" xr3:uid="{C973E655-C331-4712-8AAF-6C76E59E7EF8}" name="CBD" dataDxfId="353" totalsRowDxfId="352"/>
    <tableColumn id="6" xr3:uid="{1CE52C1D-9A05-489B-9B7E-C4772CA092A7}" name="Cultivé QC" dataDxfId="351" totalsRowDxfId="350" dataCellStyle="Monétaire" totalsRowCellStyle="Monétaire">
      <calculatedColumnFormula>VLOOKUP(B5,Tableau17[],4,FALSE)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A7F30B6-B61E-446D-A6F0-9061BACBC720}" name="Tableau21" displayName="Tableau21" ref="B21:G24" totalsRowShown="0" headerRowDxfId="349" dataDxfId="347" headerRowBorderDxfId="348" tableBorderDxfId="346" totalsRowBorderDxfId="345">
  <autoFilter ref="B21:G24" xr:uid="{73ECDFFE-8E98-451F-9D21-4BAD5F644BBC}"/>
  <sortState xmlns:xlrd2="http://schemas.microsoft.com/office/spreadsheetml/2017/richdata2" ref="B22:G24">
    <sortCondition descending="1" ref="E22:E24"/>
    <sortCondition ref="F22:F24"/>
  </sortState>
  <tableColumns count="6">
    <tableColumn id="1" xr3:uid="{79240A2D-FE3A-418D-9B75-5F9F31767C9B}" name="Nom" dataDxfId="344"/>
    <tableColumn id="2" xr3:uid="{516794AB-1E64-42F5-9207-CB0FADC14DE4}" name="Marque" dataDxfId="343">
      <calculatedColumnFormula>VLOOKUP(B22,Tableau15[],8,FALSE)</calculatedColumnFormula>
    </tableColumn>
    <tableColumn id="3" xr3:uid="{E0BABBD7-1E3D-4BDA-884D-E48268D85E3D}" name="Prix" dataDxfId="342">
      <calculatedColumnFormula>VLOOKUP(B22,Tableau15[],11,FALSE)</calculatedColumnFormula>
    </tableColumn>
    <tableColumn id="4" xr3:uid="{84225D22-9612-4EE3-9E5D-7915E6E13F89}" name="THC" dataDxfId="341"/>
    <tableColumn id="5" xr3:uid="{6634879F-E261-4113-8A29-28410E3CD925}" name="CBD" dataDxfId="340"/>
    <tableColumn id="6" xr3:uid="{ABB0EBD6-2B88-45DF-8D0E-1C1E09CA94F3}" name="Cultivé Qc" dataDxfId="339">
      <calculatedColumnFormula>VLOOKUP(B22,Tableau15[],4,FALSE)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CF9D91F-569E-486B-99F1-3DB376287AEE}" name="Tableau22" displayName="Tableau22" ref="B26:G31" totalsRowShown="0" headerRowDxfId="338" dataDxfId="336" headerRowBorderDxfId="337" tableBorderDxfId="335">
  <autoFilter ref="B26:G31" xr:uid="{7FAA100D-C7F0-4ADE-B96A-2A6D0B94E194}"/>
  <sortState xmlns:xlrd2="http://schemas.microsoft.com/office/spreadsheetml/2017/richdata2" ref="B27:G31">
    <sortCondition descending="1" ref="E27:E31"/>
    <sortCondition ref="F27:F31"/>
  </sortState>
  <tableColumns count="6">
    <tableColumn id="1" xr3:uid="{5BCDF511-0866-4914-A2CB-1710A5580DE6}" name="Nom" dataDxfId="334"/>
    <tableColumn id="2" xr3:uid="{2AC06D8F-2746-4B4A-94E2-FB78F81D4388}" name="Marque" dataDxfId="333" dataCellStyle="Monétaire">
      <calculatedColumnFormula>VLOOKUP(B27,Tableau14[],8,FALSE)</calculatedColumnFormula>
    </tableColumn>
    <tableColumn id="3" xr3:uid="{CDD11E7E-8B05-400F-AFBA-30B34607B8AA}" name="Prix" dataDxfId="332" dataCellStyle="Monétaire">
      <calculatedColumnFormula>VLOOKUP(B27,Tableau14[],11,FALSE)</calculatedColumnFormula>
    </tableColumn>
    <tableColumn id="4" xr3:uid="{8ED6813D-38B1-4562-8C66-C427A02E9261}" name="THC" dataDxfId="331" dataCellStyle="Pourcentage"/>
    <tableColumn id="5" xr3:uid="{EA23E349-3437-44EB-A41C-1DDB9858CE48}" name="CBD" dataDxfId="330"/>
    <tableColumn id="6" xr3:uid="{6E0E4D82-5B4F-4BDA-8E95-4DD653D133C6}" name="Cultivé Qc" dataDxfId="329" dataCellStyle="Monétaire">
      <calculatedColumnFormula>VLOOKUP(B27,Tableau14[],4,FALSE)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F583CA1-DE22-413A-9FDF-AA8DA8B1E2C8}" name="Tableau102126" displayName="Tableau102126" ref="A89:G92" totalsRowShown="0" headerRowDxfId="328" dataDxfId="326" headerRowBorderDxfId="327" tableBorderDxfId="325">
  <autoFilter ref="A89:G92" xr:uid="{875B5FA8-4545-421C-8C15-4EF445116B98}"/>
  <sortState xmlns:xlrd2="http://schemas.microsoft.com/office/spreadsheetml/2017/richdata2" ref="A90:G92">
    <sortCondition ref="A90:A92"/>
    <sortCondition descending="1" ref="E90:E92"/>
  </sortState>
  <tableColumns count="7">
    <tableColumn id="1" xr3:uid="{326A65D8-B0D8-4F98-B137-FCB3D70138D0}" name="Format" dataDxfId="324">
      <calculatedColumnFormula>VLOOKUP(B90,'Base Hash Kiefs'!$A$98:$L$104,10,FALSE)</calculatedColumnFormula>
    </tableColumn>
    <tableColumn id="2" xr3:uid="{F38DF4C8-DB1D-45D6-BDEA-D072A6324115}" name="Nom" dataDxfId="323"/>
    <tableColumn id="3" xr3:uid="{030916D4-4C96-4BDD-A046-136F11E79469}" name="Marque" dataDxfId="322">
      <calculatedColumnFormula>VLOOKUP(B90,'Base Hash Kiefs'!$A$98:$L$104,6,FALSE)</calculatedColumnFormula>
    </tableColumn>
    <tableColumn id="4" xr3:uid="{9E3D6431-23F0-48AB-8E8D-29B29949DABF}" name="Prix" dataDxfId="321">
      <calculatedColumnFormula>VLOOKUP(B90,'Base Hash Kiefs'!$A$98:$L$104,12,FALSE)</calculatedColumnFormula>
    </tableColumn>
    <tableColumn id="5" xr3:uid="{F565F3A5-53BF-4E68-9F98-FE0DA2D25383}" name="THC" dataDxfId="320" dataCellStyle="Pourcentage"/>
    <tableColumn id="6" xr3:uid="{D52DB707-44BA-489D-B01E-1315C97F26BA}" name="CBD" dataDxfId="319" dataCellStyle="Pourcentage"/>
    <tableColumn id="7" xr3:uid="{9C195D59-FBBC-4C76-A1D3-9EFC73B749EC}" name="Cultivé Qc" dataDxfId="318">
      <calculatedColumnFormula>VLOOKUP(B90,'Base Hash Kiefs'!$A$98:$L$104,2,FALSE)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D5CDF1F-319A-40B4-8BE5-97E6802F77A7}" name="Tableau10" displayName="Tableau10" ref="B46:G57" totalsRowShown="0" headerRowBorderDxfId="317" tableBorderDxfId="316">
  <autoFilter ref="B46:G57" xr:uid="{86D1DDD2-8773-459B-89D2-0F8927315A6E}"/>
  <sortState xmlns:xlrd2="http://schemas.microsoft.com/office/spreadsheetml/2017/richdata2" ref="B47:G57">
    <sortCondition descending="1" ref="E47:E57"/>
    <sortCondition ref="F47:F57"/>
  </sortState>
  <tableColumns count="6">
    <tableColumn id="1" xr3:uid="{BDCBF211-DA29-4FE4-A2FB-8E3B068147F0}" name="Nom" dataDxfId="315"/>
    <tableColumn id="2" xr3:uid="{3A57B708-F4D7-4170-9B34-DBB85AE5BE11}" name="Marque" dataDxfId="314" dataCellStyle="Monétaire">
      <calculatedColumnFormula>VLOOKUP(B47,Tableau12[],8,FALSE)</calculatedColumnFormula>
    </tableColumn>
    <tableColumn id="3" xr3:uid="{1377FAA1-028D-467D-A8BB-2919D344F403}" name="Prix" dataDxfId="313" dataCellStyle="Monétaire">
      <calculatedColumnFormula>VLOOKUP(B47,Tableau12[],11,FALSE)</calculatedColumnFormula>
    </tableColumn>
    <tableColumn id="4" xr3:uid="{CD2ADB61-E0A3-4E60-BFA0-8852B1796949}" name="THC" dataDxfId="312" dataCellStyle="Monétaire"/>
    <tableColumn id="5" xr3:uid="{5DFB8603-B80F-434D-9D21-67525420A733}" name="CBD" dataDxfId="311" dataCellStyle="Monétaire"/>
    <tableColumn id="6" xr3:uid="{6ED158A2-B7DF-48E5-9EEC-1AFC5D380536}" name="Cultivé Qc" dataDxfId="310" dataCellStyle="Monétaire">
      <calculatedColumnFormula>VLOOKUP(B47,Tableau12[],4,FALSE)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BBFA226-CD17-4F60-A81C-E687B87EE17E}" name="Tableau20" displayName="Tableau20" ref="B59:G68" totalsRowShown="0" headerRowBorderDxfId="309" tableBorderDxfId="308">
  <autoFilter ref="B59:G68" xr:uid="{643A23A1-6C72-4B28-9F4C-D4793C28A0E6}"/>
  <sortState xmlns:xlrd2="http://schemas.microsoft.com/office/spreadsheetml/2017/richdata2" ref="B60:G68">
    <sortCondition descending="1" ref="E60:E68"/>
    <sortCondition ref="F60:F68"/>
  </sortState>
  <tableColumns count="6">
    <tableColumn id="1" xr3:uid="{0F9E4796-A2B7-4894-8E7C-181178AB60A0}" name="Colonne1" dataDxfId="307"/>
    <tableColumn id="2" xr3:uid="{5D7A0E01-27FC-4A5D-9435-1F6509260378}" name="Marque" dataDxfId="306" dataCellStyle="Monétaire">
      <calculatedColumnFormula>VLOOKUP(B60,Tableau11[],8,FALSE)</calculatedColumnFormula>
    </tableColumn>
    <tableColumn id="3" xr3:uid="{A55A886E-1F89-44EB-836C-1303036BA536}" name="Prix" dataDxfId="305" dataCellStyle="Monétaire">
      <calculatedColumnFormula>VLOOKUP(B60,Tableau11[],11,FALSE)</calculatedColumnFormula>
    </tableColumn>
    <tableColumn id="4" xr3:uid="{44943F25-AAF5-4C6A-B284-EBFEC654F8FD}" name="THC" dataDxfId="304" dataCellStyle="Monétaire"/>
    <tableColumn id="5" xr3:uid="{52E1B660-4C8A-4ECE-B01C-C641339A85BF}" name="CBD" dataDxfId="303" dataCellStyle="Monétaire"/>
    <tableColumn id="6" xr3:uid="{0D7AEFAF-DE6C-47BD-95B7-95C5FEAF4FAB}" name="Cultivé Qc" dataDxfId="302" dataCellStyle="Monétaire">
      <calculatedColumnFormula>VLOOKUP(B60,Tableau11[],4,FALSE)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4DA8A75-41B3-4FD6-A007-A61E26A6F87C}" name="Tableau23" displayName="Tableau23" ref="B70:G86" totalsRowShown="0" headerRowBorderDxfId="301" tableBorderDxfId="300">
  <autoFilter ref="B70:G86" xr:uid="{BEB2B7EA-3B46-457E-B6E3-370CFF318350}"/>
  <sortState xmlns:xlrd2="http://schemas.microsoft.com/office/spreadsheetml/2017/richdata2" ref="B71:G86">
    <sortCondition descending="1" ref="E71:E86"/>
    <sortCondition ref="F71:F86"/>
  </sortState>
  <tableColumns count="6">
    <tableColumn id="1" xr3:uid="{6F17CAB1-48AD-4D35-B98D-FB4F77ACEF6E}" name="Colonne1" dataDxfId="299"/>
    <tableColumn id="2" xr3:uid="{F308060D-3C33-4B0A-BBC1-D2FF514BC364}" name="Marque" dataDxfId="298" dataCellStyle="Monétaire">
      <calculatedColumnFormula>VLOOKUP(B71,Tableau13[],8,FALSE)</calculatedColumnFormula>
    </tableColumn>
    <tableColumn id="3" xr3:uid="{9CC49C3A-8CA4-4590-8611-56828DCBAE3E}" name="Prix" dataDxfId="297" dataCellStyle="Monétaire">
      <calculatedColumnFormula>VLOOKUP(B71,Tableau13[],11,FALSE)</calculatedColumnFormula>
    </tableColumn>
    <tableColumn id="4" xr3:uid="{E70781B1-586A-40CB-BF65-66B22AE836E5}" name="THC" dataDxfId="296" dataCellStyle="Monétaire"/>
    <tableColumn id="5" xr3:uid="{43A3C0F9-9E88-418A-BAE2-2CFDE2E73406}" name="CBD" dataDxfId="295" dataCellStyle="Monétaire"/>
    <tableColumn id="6" xr3:uid="{A9CA729B-4272-4777-A708-FB4C92D2B800}" name="Cultivé Qc" dataDxfId="294" dataCellStyle="Monétaire">
      <calculatedColumnFormula>VLOOKUP(B71,Tableau13[],4,FALSE)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C92D7B8-0162-4B21-AED2-37174440A102}" name="Tableau24" displayName="Tableau24" ref="B33:G43" totalsRowShown="0" headerRowBorderDxfId="293" tableBorderDxfId="292">
  <autoFilter ref="B33:G43" xr:uid="{295A315E-AEC3-4766-BC57-46A899F025DC}"/>
  <sortState xmlns:xlrd2="http://schemas.microsoft.com/office/spreadsheetml/2017/richdata2" ref="B34:G43">
    <sortCondition descending="1" ref="E34:E43"/>
    <sortCondition ref="F34:F43"/>
  </sortState>
  <tableColumns count="6">
    <tableColumn id="1" xr3:uid="{6FDFEAA5-B2D7-4519-87F7-496FAC4ADD30}" name="Nom" dataDxfId="291"/>
    <tableColumn id="2" xr3:uid="{A0467337-298C-44C7-AC8D-15531777F70A}" name="Marque" dataDxfId="290">
      <calculatedColumnFormula>VLOOKUP(B34,Tableau16[],8,FALSE)</calculatedColumnFormula>
    </tableColumn>
    <tableColumn id="3" xr3:uid="{6A01B68C-457A-4A20-A78C-C2FD571C252A}" name="Prix" dataDxfId="289" dataCellStyle="Monétaire">
      <calculatedColumnFormula>VLOOKUP(B34,Tableau16[],11,FALSE)</calculatedColumnFormula>
    </tableColumn>
    <tableColumn id="4" xr3:uid="{E5D525C6-F3CC-40A3-82C2-44F36FEA4DCA}" name="THC" dataDxfId="288" dataCellStyle="Monétaire"/>
    <tableColumn id="5" xr3:uid="{4614578E-7089-40B9-9D81-23516820E720}" name="CBD" dataDxfId="287" dataCellStyle="Monétaire"/>
    <tableColumn id="6" xr3:uid="{5AF67E87-EAA9-46F6-9CBF-927ED51BAA48}" name="Cultivé Qc" dataDxfId="286" dataCellStyle="Monétaire">
      <calculatedColumnFormula>VLOOKUP(B34,Tableau16[],4,FALSE)</calculatedColumnFormula>
    </tableColumn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4603F24-4C88-4E6F-A70E-E9CED8CAFC53}" name="Tableau1092427" displayName="Tableau1092427" ref="A95:G102" totalsRowShown="0" headerRowDxfId="285" dataDxfId="283" headerRowBorderDxfId="284" tableBorderDxfId="282">
  <autoFilter ref="A95:G102" xr:uid="{D3DABD83-C895-4195-9C3A-B9388C352AB9}"/>
  <sortState xmlns:xlrd2="http://schemas.microsoft.com/office/spreadsheetml/2017/richdata2" ref="A96:G102">
    <sortCondition descending="1" ref="E96:E102"/>
    <sortCondition ref="F96:F102"/>
  </sortState>
  <tableColumns count="7">
    <tableColumn id="1" xr3:uid="{43DAB1D1-5AE7-4CE4-B9A2-2A410E2CA6B5}" name="Format" dataDxfId="281" totalsRowDxfId="280">
      <calculatedColumnFormula>VLOOKUP(B96,concentrés[],11,FALSE)</calculatedColumnFormula>
    </tableColumn>
    <tableColumn id="2" xr3:uid="{FD541F43-A7D6-413F-A7FB-E68BEF41FF29}" name="Nom" dataDxfId="279" totalsRowDxfId="278"/>
    <tableColumn id="3" xr3:uid="{57730B24-075A-45B3-B025-1F1BF18933D1}" name="Marque" dataDxfId="277" totalsRowDxfId="276">
      <calculatedColumnFormula>VLOOKUP(B96,concentrés[],5,FALSE)</calculatedColumnFormula>
    </tableColumn>
    <tableColumn id="4" xr3:uid="{5EBE3270-0BAD-4E92-A13A-09BCBB6CCD9C}" name="Prix" dataDxfId="275" totalsRowDxfId="274">
      <calculatedColumnFormula>VLOOKUP(B96,concentrés[],12,FALSE)</calculatedColumnFormula>
    </tableColumn>
    <tableColumn id="5" xr3:uid="{8BBAD12F-CCB4-4760-B1EA-F5E838BB6504}" name="THC" dataDxfId="273" totalsRowDxfId="272" dataCellStyle="Pourcentage"/>
    <tableColumn id="6" xr3:uid="{6A981E6A-43A2-4871-8358-8B2D309D29DA}" name="CBD" dataDxfId="271" totalsRowDxfId="270" dataCellStyle="Pourcentage"/>
    <tableColumn id="7" xr3:uid="{20A1A49D-1A16-4599-940F-02819DD2276D}" name="Cultivé Qc" dataDxfId="269" totalsRowDxfId="268">
      <calculatedColumnFormula>VLOOKUP(B96,Tableau19[],12,FALSE)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CC604FA-6F24-4425-B1EB-0D2133BD1845}" name="Tableau28" displayName="Tableau28" ref="B12:G14" totalsRowShown="0" tableBorderDxfId="267">
  <autoFilter ref="B12:G14" xr:uid="{BCC604FA-6F24-4425-B1EB-0D2133BD1845}"/>
  <sortState xmlns:xlrd2="http://schemas.microsoft.com/office/spreadsheetml/2017/richdata2" ref="B13:G14">
    <sortCondition descending="1" ref="E13:E14"/>
    <sortCondition ref="F13:F14"/>
  </sortState>
  <tableColumns count="6">
    <tableColumn id="1" xr3:uid="{4623441D-4B64-4BDC-BE9D-CDCA5E1C214E}" name="Colonne1" dataDxfId="266"/>
    <tableColumn id="2" xr3:uid="{C5093722-A18C-4752-B109-F5C2280A0C57}" name="Colonne2" dataDxfId="265" dataCellStyle="Monétaire">
      <calculatedColumnFormula>VLOOKUP(B13,Tableau8[],8,FALSE)</calculatedColumnFormula>
    </tableColumn>
    <tableColumn id="3" xr3:uid="{9BA6E7BF-EBA0-442F-89B1-2BA18B28AA67}" name="Colonne3" dataDxfId="264" dataCellStyle="Monétaire">
      <calculatedColumnFormula>VLOOKUP(B13,Tableau8[],11,FALSE)</calculatedColumnFormula>
    </tableColumn>
    <tableColumn id="4" xr3:uid="{FB86B120-5825-4BF9-A864-17916AD932F7}" name="Colonne4" dataDxfId="263"/>
    <tableColumn id="5" xr3:uid="{39318D46-4910-4722-B36B-78FBA1F42492}" name="Colonne5" dataDxfId="262"/>
    <tableColumn id="6" xr3:uid="{B3893076-4FF6-484B-91BA-D38065A78E45}" name="Colonne6" dataDxfId="261" dataCellStyle="Monétaire">
      <calculatedColumnFormula>VLOOKUP(B13,Tableau8[],4,FALSE)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760E37A-4E41-4F9B-8961-EBB2FC6C67BB}" name="Tableau2025" displayName="Tableau2025" ref="A4:I38" totalsRowShown="0" headerRowDxfId="260" dataDxfId="258" headerRowBorderDxfId="259" tableBorderDxfId="257" totalsRowBorderDxfId="256">
  <autoFilter ref="A4:I38" xr:uid="{9B07670C-2477-4DA3-B7FA-6296CE43B654}"/>
  <sortState xmlns:xlrd2="http://schemas.microsoft.com/office/spreadsheetml/2017/richdata2" ref="A5:I38">
    <sortCondition ref="A5:A38"/>
    <sortCondition descending="1" ref="E5:E38"/>
    <sortCondition ref="B5:B38"/>
  </sortState>
  <tableColumns count="9">
    <tableColumn id="1" xr3:uid="{02720C40-3DE9-46B1-8443-86F68D6CA24E}" name="Format" dataDxfId="255" totalsRowDxfId="254">
      <calculatedColumnFormula>VLOOKUP(B5,'Base Hash Kiefs'!$A$6:$O$92,11,FALSE)</calculatedColumnFormula>
    </tableColumn>
    <tableColumn id="2" xr3:uid="{6C31DF5F-9C1C-41EB-ADCB-822F043CB80D}" name="Nom (Dominance)" dataDxfId="253" totalsRowDxfId="252"/>
    <tableColumn id="3" xr3:uid="{4497063E-E864-4D7F-87B0-59DC0FC3A492}" name="Marque" dataDxfId="251" totalsRowDxfId="250">
      <calculatedColumnFormula>VLOOKUP(B5,'Base Hash Kiefs'!$A$6:$O$92,8,FALSE)</calculatedColumnFormula>
    </tableColumn>
    <tableColumn id="4" xr3:uid="{C9D088E1-356C-4A83-894F-78706FB678B3}" name="Prix" dataDxfId="249" totalsRowDxfId="248">
      <calculatedColumnFormula>VLOOKUP(B5,'Base Hash Kiefs'!$A$6:$O$92,15,FALSE)</calculatedColumnFormula>
    </tableColumn>
    <tableColumn id="5" xr3:uid="{59D217A8-9819-4C19-BF0A-90A40888AFB6}" name="THC" dataDxfId="247" totalsRowDxfId="246" dataCellStyle="Pourcentage"/>
    <tableColumn id="6" xr3:uid="{35F661C9-C2C1-446D-BCF8-1E998B6B6989}" name="CBD" dataDxfId="245" totalsRowDxfId="244" dataCellStyle="Pourcentage"/>
    <tableColumn id="7" xr3:uid="{4FB6B265-4B46-4433-9DC4-6938C18AB6E5}" name="Cultivé Qc" dataDxfId="243" totalsRowDxfId="242">
      <calculatedColumnFormula>VLOOKUP(B5,'Base Hash Kiefs'!$A$6:$O$92,3,FALSE)</calculatedColumnFormula>
    </tableColumn>
    <tableColumn id="8" xr3:uid="{63E01B21-3A06-4CA0-AC1C-F69B69E2F2E4}" name="Couleur Externe" dataDxfId="241" totalsRowDxfId="240">
      <calculatedColumnFormula>VLOOKUP(B5,'Base Hash Kiefs'!$A$6:$O$92,13,FALSE)</calculatedColumnFormula>
    </tableColumn>
    <tableColumn id="9" xr3:uid="{2132F54F-85D0-4032-BC88-068670DFC162}" name="Texture" dataDxfId="239" totalsRowDxfId="238">
      <calculatedColumnFormula>VLOOKUP(B5,'Base Hash Kiefs'!$A$6:$O$92,14,FALSE)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7283965-C52A-4667-8633-D575A73FF1B3}" name="Tableau27" displayName="Tableau27" ref="A41:H65" totalsRowShown="0" headerRowDxfId="237" dataDxfId="236" tableBorderDxfId="235">
  <autoFilter ref="A41:H65" xr:uid="{07283965-C52A-4667-8633-D575A73FF1B3}"/>
  <sortState xmlns:xlrd2="http://schemas.microsoft.com/office/spreadsheetml/2017/richdata2" ref="A42:H65">
    <sortCondition ref="A42:A65"/>
    <sortCondition ref="E42:E65"/>
  </sortState>
  <tableColumns count="8">
    <tableColumn id="1" xr3:uid="{D72E06D8-E50C-44BB-904D-1968FBAF0BEF}" name="Format" dataDxfId="234">
      <calculatedColumnFormula>VLOOKUP(B42,Tableau19[],11,FALSE)</calculatedColumnFormula>
    </tableColumn>
    <tableColumn id="2" xr3:uid="{3B62F236-5551-4686-B983-97310CAEFA5D}" name="Nom" dataDxfId="233"/>
    <tableColumn id="3" xr3:uid="{785F55D6-48A0-4890-91DE-539B31FD7013}" name="Marque" dataDxfId="232">
      <calculatedColumnFormula>VLOOKUP(B42,Tableau19[],5,FALSE)</calculatedColumnFormula>
    </tableColumn>
    <tableColumn id="4" xr3:uid="{0FCF1A20-5A7D-4B1A-9A2A-FAE29CA1FBA2}" name="Prix" dataDxfId="231">
      <calculatedColumnFormula>VLOOKUP(B42,Tableau19[],12,FALSE)</calculatedColumnFormula>
    </tableColumn>
    <tableColumn id="5" xr3:uid="{6F8E2DC2-4B99-48E6-BE3A-157D51CCFF50}" name="THC" dataDxfId="230" dataCellStyle="Pourcentage"/>
    <tableColumn id="6" xr3:uid="{F8CF5FBE-0B74-4E0E-870B-3E3D587E9657}" name="CBD" dataDxfId="229" dataCellStyle="Pourcentage"/>
    <tableColumn id="7" xr3:uid="{9B9BC062-9E77-4E49-8942-5A9A299B4A1C}" name="Cultivé Qc" dataDxfId="228"/>
    <tableColumn id="8" xr3:uid="{777D0C26-A994-4E90-9F73-FB936B27878D}" name="Composantes" dataDxfId="227">
      <calculatedColumnFormula>VLOOKUP(B42,Tableau19[],13,FALSE)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5AA8746-A788-43A2-8832-D301507AB245}" name="Tableau11" displayName="Tableau11" ref="A2:L39" totalsRowShown="0" headerRowDxfId="216" dataDxfId="215" headerRowCellStyle="Normal 2" dataCellStyle="Normal 2">
  <autoFilter ref="A2:L39" xr:uid="{A33E6DC4-7B21-468D-B29E-1234DC42A969}"/>
  <sortState xmlns:xlrd2="http://schemas.microsoft.com/office/spreadsheetml/2017/richdata2" ref="A3:L39">
    <sortCondition ref="A2:A39"/>
  </sortState>
  <tableColumns count="12">
    <tableColumn id="11" xr3:uid="{9F7E0B64-51C1-4C9D-9326-219DE4DF9E77}" name="Nom - Genetique" dataDxfId="214" dataCellStyle="Normal 2">
      <calculatedColumnFormula>IF(Tableau11[[#This Row],[Nom produit]]=Tableau11[[#This Row],[Variété]],Tableau11[[#This Row],[Nom produit]],_xlfn.CONCAT(Tableau11[[#This Row],[Nom produit]]," - ", Tableau11[[#This Row],[Variété]]))</calculatedColumnFormula>
    </tableColumn>
    <tableColumn id="1" xr3:uid="{78A3C3D1-2F5F-423E-AD37-B410B00855F0}" name="Nom produit" dataDxfId="213" dataCellStyle="Normal 2"/>
    <tableColumn id="2" xr3:uid="{76F8E99C-EDD1-4728-A9F3-D25E35E29D57}" name="Code-barres" dataDxfId="212" dataCellStyle="Normal 2"/>
    <tableColumn id="3" xr3:uid="{E2FC7EAA-8FED-48AE-90A2-644A131C4567}" name="Cultivé au Québec" dataDxfId="211" dataCellStyle="Normal 2"/>
    <tableColumn id="4" xr3:uid="{E6E3DB41-41C9-4EC0-A792-B827C6F14F32}" name="Espèce" dataDxfId="210" dataCellStyle="Normal 2"/>
    <tableColumn id="5" xr3:uid="{148A5313-C86C-4C2B-A4A7-BD207C2DA1CB}" name="Dominance Hybride (ds)" dataDxfId="209" dataCellStyle="Normal 2"/>
    <tableColumn id="6" xr3:uid="{80164559-E009-4E2F-9C9F-40B869EEB1FF}" name="Variété" dataDxfId="208" dataCellStyle="Normal 2"/>
    <tableColumn id="7" xr3:uid="{D67B807C-613C-4F5A-826E-3D7B5219C94C}" name="Marque" dataDxfId="207" dataCellStyle="Normal 2"/>
    <tableColumn id="8" xr3:uid="{B54C8199-052A-4665-9720-DCD6E0D4FC1C}" name="Terpène dominant" dataDxfId="206" dataCellStyle="Normal 2"/>
    <tableColumn id="9" xr3:uid="{92606C23-8244-46EB-BC19-D058F2272B35}" name="Format" dataDxfId="205" dataCellStyle="Normal 2"/>
    <tableColumn id="10" xr3:uid="{0574EA13-D885-46BF-B0B8-3FA56CBB0A72}" name="Prix" dataDxfId="204" dataCellStyle="Normal 2"/>
    <tableColumn id="12" xr3:uid="{748BD70A-25B0-488E-A02D-5F12919D8438}" name="retrait" dataDxfId="203" dataCellStyle="Normal 2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8FEEAC4-60D8-49CA-AF84-72CB1AD18694}" name="Tableau12" displayName="Tableau12" ref="A42:L80" totalsRowShown="0" headerRowDxfId="202" dataDxfId="201" headerRowCellStyle="Normal 2" dataCellStyle="Normal 2">
  <autoFilter ref="A42:L80" xr:uid="{2D7423FB-5048-4B8B-B0B0-8B1774C38589}"/>
  <sortState xmlns:xlrd2="http://schemas.microsoft.com/office/spreadsheetml/2017/richdata2" ref="A43:L80">
    <sortCondition ref="A42:A80"/>
  </sortState>
  <tableColumns count="12">
    <tableColumn id="11" xr3:uid="{2E260E15-A224-43FE-8396-B921A84731FD}" name="Nom - Génétique" dataDxfId="200" dataCellStyle="Normal 2">
      <calculatedColumnFormula>IF(Tableau12[[#This Row],[Nom produit]]=Tableau12[[#This Row],[Variété]],Tableau12[[#This Row],[Nom produit]],_xlfn.CONCAT(Tableau12[[#This Row],[Nom produit]]," - ", Tableau12[[#This Row],[Variété]]))</calculatedColumnFormula>
    </tableColumn>
    <tableColumn id="1" xr3:uid="{6466B403-9AD2-47E8-BDA4-1985927A84BA}" name="Nom produit" dataDxfId="199" dataCellStyle="Normal 2"/>
    <tableColumn id="2" xr3:uid="{B40BE6D8-F551-462D-B08A-893C51F7F296}" name="Code-barres" dataDxfId="198" dataCellStyle="Normal 2"/>
    <tableColumn id="3" xr3:uid="{DD97214F-E230-4E37-8CAE-F295AC16021D}" name="Cultivé au Québec" dataDxfId="197" dataCellStyle="Normal 2"/>
    <tableColumn id="4" xr3:uid="{812F3764-3E76-4EA4-8896-723197246E1C}" name="Espèce" dataDxfId="196" dataCellStyle="Normal 2"/>
    <tableColumn id="5" xr3:uid="{9A249463-C1B2-44A9-A9E4-AD371BECD212}" name="Dominance Hybride (ds)" dataDxfId="195" dataCellStyle="Normal 2"/>
    <tableColumn id="6" xr3:uid="{88CEBABC-7582-4A76-9530-A1928040B678}" name="Variété" dataDxfId="194" dataCellStyle="Normal 2"/>
    <tableColumn id="7" xr3:uid="{EE1C83E5-A7A0-475F-BD36-B4BF47F655DA}" name="Marque" dataDxfId="193" dataCellStyle="Normal 2"/>
    <tableColumn id="8" xr3:uid="{0EE4A656-F705-49A1-A593-35080D663E27}" name="Terpène dominant" dataDxfId="192" dataCellStyle="Normal 2"/>
    <tableColumn id="9" xr3:uid="{B4DAEC08-9AE0-4BC1-A179-97B0413C61B0}" name="Format" dataDxfId="191" dataCellStyle="Normal 2"/>
    <tableColumn id="10" xr3:uid="{ECA0046D-56C8-4002-A896-418FFEF2DC48}" name="Prix" dataDxfId="190" dataCellStyle="Normal 2"/>
    <tableColumn id="12" xr3:uid="{1AB13ECA-4E03-459E-9190-FAAA38DB9A0E}" name="retrait" dataDxfId="189" dataCellStyle="Normal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5C523CB-4029-4ADF-B5D9-9AF4BD2FA3DE}" name="Tableau13" displayName="Tableau13" ref="A83:L127" totalsRowShown="0" headerRowDxfId="188" dataDxfId="187" headerRowCellStyle="Normal 2" dataCellStyle="Normal 2">
  <autoFilter ref="A83:L127" xr:uid="{0C517BC9-9794-4F53-BD63-8169F0D9EA3F}"/>
  <sortState xmlns:xlrd2="http://schemas.microsoft.com/office/spreadsheetml/2017/richdata2" ref="A84:L127">
    <sortCondition ref="A83:A127"/>
  </sortState>
  <tableColumns count="12">
    <tableColumn id="11" xr3:uid="{C90DD42D-6832-45E7-95AE-1DDEDBBDF4D1}" name="Nom - Génétique" dataDxfId="186" dataCellStyle="Normal 2">
      <calculatedColumnFormula>IF(Tableau13[[#This Row],[Nom produit]]=Tableau13[[#This Row],[Variété]],Tableau13[[#This Row],[Nom produit]],_xlfn.CONCAT(Tableau13[[#This Row],[Nom produit]]," - ", Tableau13[[#This Row],[Variété]]))</calculatedColumnFormula>
    </tableColumn>
    <tableColumn id="1" xr3:uid="{D6721021-3D50-4F0D-BCBC-382191D69A7F}" name="Nom produit" dataDxfId="185" dataCellStyle="Normal 2"/>
    <tableColumn id="2" xr3:uid="{C318FE34-B103-4A8A-8E6F-81574736D1C4}" name="Code-barres" dataDxfId="184" dataCellStyle="Normal 2"/>
    <tableColumn id="3" xr3:uid="{016B6213-DB02-4890-B5F6-DABFED02EC8A}" name="Cultivé au Québec" dataDxfId="183" dataCellStyle="Normal 2"/>
    <tableColumn id="4" xr3:uid="{D743D280-00C6-4C50-94CD-2C96FD98BCC4}" name="Espèce" dataDxfId="182" dataCellStyle="Monétaire"/>
    <tableColumn id="5" xr3:uid="{8D45614A-D8CD-4377-B62A-7FDE1E78B915}" name="Dominance Hybride (ds)" dataDxfId="181" dataCellStyle="Normal 2"/>
    <tableColumn id="6" xr3:uid="{3507C910-732F-401F-B0F6-77192F8297B4}" name="Variété" dataDxfId="180" dataCellStyle="Normal 2"/>
    <tableColumn id="7" xr3:uid="{8684C392-4C61-4A2A-815E-6083FCED3789}" name="Marque" dataDxfId="179" dataCellStyle="Normal 2"/>
    <tableColumn id="8" xr3:uid="{CFB9D9FE-71EF-49C7-ADB3-20956BCE3D64}" name="Terpène dominant" dataDxfId="178" dataCellStyle="Normal 2"/>
    <tableColumn id="9" xr3:uid="{8AE39A43-D371-4ECB-BA36-D9886F1DB1FC}" name="Format" dataDxfId="177" dataCellStyle="Normal 2"/>
    <tableColumn id="10" xr3:uid="{B0D062F5-FC06-49D5-9DD6-B7E188267737}" name="Prix" dataDxfId="176" dataCellStyle="Normal 2"/>
    <tableColumn id="12" xr3:uid="{C5F24DE4-AEC9-4435-B89A-6995261F37F5}" name="retrait" dataDxfId="175" dataCellStyle="Normal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8F60337-E953-4812-A0DE-E4BA2D25FC3C}" name="Tableau14" displayName="Tableau14" ref="A131:L150" totalsRowShown="0" headerRowDxfId="174" headerRowCellStyle="Normal 2" dataCellStyle="Normal 2">
  <autoFilter ref="A131:L150" xr:uid="{420F5BE2-7212-48B5-8C16-74302C0914D3}"/>
  <sortState xmlns:xlrd2="http://schemas.microsoft.com/office/spreadsheetml/2017/richdata2" ref="A132:L150">
    <sortCondition ref="A131:A150"/>
  </sortState>
  <tableColumns count="12">
    <tableColumn id="11" xr3:uid="{96BA8529-7561-4EB0-A43E-AE5E50778E1E}" name="Nom - Génétique" dataDxfId="173" dataCellStyle="Normal 2">
      <calculatedColumnFormula>IF(Tableau14[[#This Row],[Nom produit]]=Tableau14[[#This Row],[Variété]],Tableau14[[#This Row],[Nom produit]],_xlfn.CONCAT(Tableau14[[#This Row],[Nom produit]]," - ", Tableau14[[#This Row],[Variété]]))</calculatedColumnFormula>
    </tableColumn>
    <tableColumn id="1" xr3:uid="{AD21B216-DCA9-435E-9F2D-CFE779D4857D}" name="Nom produit" dataCellStyle="Normal 2"/>
    <tableColumn id="2" xr3:uid="{F7B35FB4-20F6-4BE2-8668-656C8E1DF9AD}" name="Code-barres" dataCellStyle="Normal 2"/>
    <tableColumn id="3" xr3:uid="{103C8AB7-03EF-4CA6-A551-9D50EDE2B96A}" name="Cultivé au Québec" dataCellStyle="Normal 2"/>
    <tableColumn id="4" xr3:uid="{207480E9-66FE-43D9-B61E-0BF57E601BF8}" name="Espèce" dataCellStyle="Normal 2"/>
    <tableColumn id="5" xr3:uid="{1C45BDFD-0AA9-400A-9627-CB038AEB7F49}" name="Dominance Hybride (ds)" dataCellStyle="Normal 2"/>
    <tableColumn id="6" xr3:uid="{D412EDD7-4A22-4304-9811-9A108E4D0F0A}" name="Variété" dataCellStyle="Normal 2"/>
    <tableColumn id="7" xr3:uid="{F58C00C0-8E4B-48C0-8220-981936700985}" name="Marque" dataCellStyle="Normal 2"/>
    <tableColumn id="8" xr3:uid="{48F51B0B-33F5-4784-B409-5783DE7F72F8}" name="Terpène dominant" dataCellStyle="Normal 2"/>
    <tableColumn id="9" xr3:uid="{2121F102-DC23-4EEC-8D0B-1B52EA7DCF20}" name="Format" dataCellStyle="Normal 2"/>
    <tableColumn id="10" xr3:uid="{C776AAD5-B9D5-460E-9BF3-17DD55604758}" name="Prix" dataDxfId="172" dataCellStyle="Normal 2"/>
    <tableColumn id="12" xr3:uid="{DDF7190A-6275-4425-8E96-69F1F49BBCE3}" name="retrait" dataCellStyle="Normal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9345949-EE4E-4A9B-A8D7-C098B6E88304}" name="Tableau15" displayName="Tableau15" ref="A153:L175" totalsRowShown="0" headerRowDxfId="171" headerRowCellStyle="Normal 2" dataCellStyle="Normal 2">
  <autoFilter ref="A153:L175" xr:uid="{03BC5982-7D4C-4147-BBDA-1EE439A98CFA}"/>
  <sortState xmlns:xlrd2="http://schemas.microsoft.com/office/spreadsheetml/2017/richdata2" ref="A154:L175">
    <sortCondition ref="A153:A175"/>
  </sortState>
  <tableColumns count="12">
    <tableColumn id="11" xr3:uid="{143FAB23-5A4C-480F-AE2B-32BADA6868A1}" name="Nom - Génétique" dataDxfId="170" dataCellStyle="Normal 2">
      <calculatedColumnFormula>IF(Tableau15[[#This Row],[Nom produit]]=Tableau15[[#This Row],[Variété]],Tableau15[[#This Row],[Nom produit]],_xlfn.CONCAT(Tableau15[[#This Row],[Nom produit]]," - ", Tableau15[[#This Row],[Variété]]))</calculatedColumnFormula>
    </tableColumn>
    <tableColumn id="1" xr3:uid="{5D45A9D4-9494-442D-86E3-F9574D4C3E8C}" name="Nom produit" dataCellStyle="Normal 2"/>
    <tableColumn id="2" xr3:uid="{9101A407-F5BD-46E6-987A-7CC720B6D51B}" name="Code-barres" dataCellStyle="Normal 2"/>
    <tableColumn id="3" xr3:uid="{18E80BAE-0D32-4832-8BE5-E56331FD6219}" name="Cultivé au Québec" dataCellStyle="Normal 2"/>
    <tableColumn id="4" xr3:uid="{684EA95D-5629-45EE-9DD8-B445713F1282}" name="Espèce" dataCellStyle="Normal 2"/>
    <tableColumn id="5" xr3:uid="{88654BB9-5C98-4EBC-9E96-B6A4BB216799}" name="Dominance Hybride (ds)" dataCellStyle="Normal 2"/>
    <tableColumn id="6" xr3:uid="{820B440A-549C-4054-8D7F-79F1E970D9C9}" name="Variété" dataCellStyle="Normal 2"/>
    <tableColumn id="7" xr3:uid="{CDCA1E60-2101-48A8-BF5B-CCD23B329DE8}" name="Marque" dataCellStyle="Normal 2"/>
    <tableColumn id="8" xr3:uid="{13CF302D-908B-4368-936F-9B5A0544353C}" name="Terpène dominant" dataCellStyle="Normal 2"/>
    <tableColumn id="9" xr3:uid="{49DD857A-A38E-4A5A-B1CD-AD9FDC7C6A3A}" name="Format" dataCellStyle="Normal 2"/>
    <tableColumn id="10" xr3:uid="{A98E91C0-D5F4-49FB-88B2-E5DF65D475E3}" name="Prix" dataDxfId="169" dataCellStyle="Normal 2"/>
    <tableColumn id="12" xr3:uid="{76C426B4-0ACD-40F0-B59F-E19025F78CDF}" name="retrait" dataCellStyle="Normal 2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77189DC-867C-42AE-BB96-0BE7858ED292}" name="Tableau16" displayName="Tableau16" ref="A178:L205" totalsRowShown="0" headerRowDxfId="168" dataDxfId="167" headerRowCellStyle="Normal 2" dataCellStyle="Normal 2">
  <autoFilter ref="A178:L205" xr:uid="{BAC35902-1FB2-4A3A-949C-180783A5DF21}"/>
  <sortState xmlns:xlrd2="http://schemas.microsoft.com/office/spreadsheetml/2017/richdata2" ref="A179:L205">
    <sortCondition ref="A178:A205"/>
  </sortState>
  <tableColumns count="12">
    <tableColumn id="11" xr3:uid="{D5163387-4A6B-4139-9EFF-B454E9C59996}" name="Nom - Génétique" dataDxfId="166" dataCellStyle="Normal 2">
      <calculatedColumnFormula>IF(Tableau16[[#This Row],[Nom produit]]=Tableau16[[#This Row],[Variété]],Tableau16[[#This Row],[Nom produit]],_xlfn.CONCAT(Tableau16[[#This Row],[Nom produit]]," - ", Tableau16[[#This Row],[Variété]]))</calculatedColumnFormula>
    </tableColumn>
    <tableColumn id="1" xr3:uid="{2F127151-682C-426E-B44D-EC4FCC87FE26}" name="Nom produit" dataDxfId="165" dataCellStyle="Normal 2"/>
    <tableColumn id="2" xr3:uid="{81C8EC7D-BD98-4EFE-BBC5-51CF47822646}" name="Code-barres" dataDxfId="164" dataCellStyle="Normal 2"/>
    <tableColumn id="3" xr3:uid="{20D859BE-633B-4499-B51E-8946C81B8865}" name="Cultivé au Québec" dataDxfId="163" dataCellStyle="Normal 2"/>
    <tableColumn id="4" xr3:uid="{20D2E90F-F4E5-4CCE-9FCB-98655747279D}" name="Espèce" dataDxfId="162" dataCellStyle="Normal 2"/>
    <tableColumn id="5" xr3:uid="{B4DE00B1-D9B1-4BFF-95AD-F78730C5CAC6}" name="Dominance Hybride (ds)" dataDxfId="161" dataCellStyle="Normal 2"/>
    <tableColumn id="6" xr3:uid="{FC00E53D-24F5-4E05-9A36-732BEBC030ED}" name="Variété" dataDxfId="160" dataCellStyle="Normal 2"/>
    <tableColumn id="7" xr3:uid="{B23F537A-0756-4CD3-AF4D-3841C4B3FB8D}" name="Marque" dataDxfId="159" dataCellStyle="Normal 2"/>
    <tableColumn id="8" xr3:uid="{A01CE1F8-BA39-42F6-B825-42374F27F258}" name="Terpène dominant" dataDxfId="158" dataCellStyle="Normal 2"/>
    <tableColumn id="9" xr3:uid="{27C894D7-72B5-4E73-86F6-099A401315F6}" name="Format" dataDxfId="157" dataCellStyle="Normal 2"/>
    <tableColumn id="10" xr3:uid="{E6A1BB73-2B75-433B-BC43-56C909B88499}" name="Prix" dataDxfId="156" dataCellStyle="Normal 2"/>
    <tableColumn id="12" xr3:uid="{33F63770-1D0E-41FA-B251-D18A2ACE75C1}" name="retrait" dataDxfId="155" dataCellStyle="Normal 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3262F5A-EB1C-47B0-B0CA-2C22FE2D8D53}" name="Tableau17" displayName="Tableau17" ref="A208:L227" totalsRowShown="0" headerRowDxfId="154" dataDxfId="153" headerRowCellStyle="Normal 2" dataCellStyle="Normal 2">
  <autoFilter ref="A208:L227" xr:uid="{45E89FFE-E4F6-4F3B-9364-A3132DD9E2D2}"/>
  <sortState xmlns:xlrd2="http://schemas.microsoft.com/office/spreadsheetml/2017/richdata2" ref="A209:L227">
    <sortCondition ref="A208:A227"/>
  </sortState>
  <tableColumns count="12">
    <tableColumn id="11" xr3:uid="{191762DC-C9E7-4B00-B5EC-3F834A4840CE}" name="Nom - Génétique" dataDxfId="152" dataCellStyle="Normal 2">
      <calculatedColumnFormula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calculatedColumnFormula>
    </tableColumn>
    <tableColumn id="1" xr3:uid="{C4FD63C0-AC15-4C73-9502-7A52A1BE7431}" name="Nom produit" dataDxfId="151" dataCellStyle="Normal 2"/>
    <tableColumn id="2" xr3:uid="{4B065A18-474F-49D2-A368-CE5775D5E6DE}" name="Code-barres" dataDxfId="150" dataCellStyle="Normal 2"/>
    <tableColumn id="3" xr3:uid="{23E4F8C1-FFCA-4C55-BBE7-DF7CDA042BF1}" name="Cultivé au Québec" dataDxfId="149" dataCellStyle="Normal 2"/>
    <tableColumn id="4" xr3:uid="{11B9B068-57C7-402D-8373-FE774B1FEBFD}" name="Espèce" dataDxfId="148" dataCellStyle="Normal 2"/>
    <tableColumn id="5" xr3:uid="{84BCC676-54FB-44BD-AD59-49D10A409533}" name="Dominance Hybride (ds)" dataDxfId="147" dataCellStyle="Normal 2"/>
    <tableColumn id="6" xr3:uid="{9D9F97FD-2F2A-4AD6-8574-B908422CBF2A}" name="Variété" dataDxfId="146" dataCellStyle="Normal 2"/>
    <tableColumn id="7" xr3:uid="{61C3C8DD-6899-4C2B-A0DE-9AB2E25F2428}" name="Marque" dataDxfId="145" dataCellStyle="Normal 2"/>
    <tableColumn id="8" xr3:uid="{2D947CD6-37FB-4CBB-B0CF-1BA4CE11F7B9}" name="Terpène dominant" dataDxfId="144" dataCellStyle="Normal 2"/>
    <tableColumn id="9" xr3:uid="{17D7770D-70E1-4E4B-88FA-97C3032B2BDD}" name="Format" dataDxfId="143" dataCellStyle="Normal 2"/>
    <tableColumn id="10" xr3:uid="{5D49C740-5D3C-4A66-9EC1-B2B6C81DE031}" name="Prix" dataDxfId="142" dataCellStyle="Normal 2"/>
    <tableColumn id="12" xr3:uid="{49B306FF-A067-464A-8372-63C97C0FA2C1}" name="retrait" dataDxfId="141" dataCellStyle="Normal 2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DDDB85-F666-4779-BB09-F308B6C64442}" name="Tableau8" displayName="Tableau8" ref="A230:L237" totalsRowShown="0" headerRowDxfId="140" headerRowCellStyle="Normal 2">
  <autoFilter ref="A230:L237" xr:uid="{9BDDDB85-F666-4779-BB09-F308B6C64442}"/>
  <sortState xmlns:xlrd2="http://schemas.microsoft.com/office/spreadsheetml/2017/richdata2" ref="A231:L237">
    <sortCondition ref="A230:A237"/>
  </sortState>
  <tableColumns count="12">
    <tableColumn id="1" xr3:uid="{FBBD886B-6EE1-4460-A261-20ED35857BA7}" name="Nom - Génétique">
      <calculatedColumnFormula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calculatedColumnFormula>
    </tableColumn>
    <tableColumn id="2" xr3:uid="{55C565FE-F2CB-4688-AEA4-0E2BBDD15329}" name="Nom produit"/>
    <tableColumn id="3" xr3:uid="{DE18E244-A578-425F-8B73-ED4693DB3509}" name="Code-barres"/>
    <tableColumn id="4" xr3:uid="{9E7D765D-EFD6-41BD-B3E4-E92BC029DC0E}" name="Cultivé au Québec"/>
    <tableColumn id="5" xr3:uid="{DBADC533-80B5-440B-A8EE-EB4394F4BBC0}" name="Espèce"/>
    <tableColumn id="6" xr3:uid="{89DA0AA7-EED6-4486-AD71-63F0D422F8EA}" name="Dominance Hybride (ds)"/>
    <tableColumn id="7" xr3:uid="{0C33FCB2-7E72-48BE-983C-257841A6F5A9}" name="Variété"/>
    <tableColumn id="8" xr3:uid="{6D98442C-317C-4284-BD72-B759E6FC0699}" name="Marque"/>
    <tableColumn id="9" xr3:uid="{8E6B7D2A-024F-4776-B934-98D414543AF0}" name="Terpène dominant"/>
    <tableColumn id="10" xr3:uid="{A84E6F67-2CED-42A5-8606-33E4B2B79274}" name="Format"/>
    <tableColumn id="11" xr3:uid="{E0BD0394-997F-47F6-B47D-EEF5AECE31B3}" name="Prix"/>
    <tableColumn id="12" xr3:uid="{CE10A3E1-8BC2-4754-B4A7-8BE5EE97488F}" name="retrait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46D629-ADAA-42B6-BC1F-BA172FE4A4C1}" name="Huiles" displayName="Huiles" ref="A5:L40" totalsRowShown="0" headerRowDxfId="134" dataDxfId="132" headerRowBorderDxfId="133" tableBorderDxfId="131">
  <autoFilter ref="A5:L40" xr:uid="{636EC8D5-20BC-4648-BE12-7D7B15063DB3}"/>
  <sortState xmlns:xlrd2="http://schemas.microsoft.com/office/spreadsheetml/2017/richdata2" ref="A6:K40">
    <sortCondition ref="A5:A40"/>
  </sortState>
  <tableColumns count="12">
    <tableColumn id="1" xr3:uid="{328A5E81-A8D2-4223-B2A6-2DCD094F9C44}" name="Code-barres" dataDxfId="130"/>
    <tableColumn id="3" xr3:uid="{089D1BBA-ECDB-492E-8AAA-1F553010E394}" name="Espèce" dataDxfId="129"/>
    <tableColumn id="4" xr3:uid="{B58CF016-A2D1-4B3D-BF9B-0CA6E4484C8B}" name="Nom produit" dataDxfId="128"/>
    <tableColumn id="5" xr3:uid="{51920836-C612-40B0-A7B3-CA7808429B00}" name="Variété" dataDxfId="127"/>
    <tableColumn id="6" xr3:uid="{69EAC795-FB4C-4652-A2A1-C19BDE16C350}" name="Marque" dataDxfId="126"/>
    <tableColumn id="7" xr3:uid="{2D46D8E0-90EC-4716-A7D5-56905A11EE21}" name="Terpène dominant" dataDxfId="125"/>
    <tableColumn id="8" xr3:uid="{0C5CB250-4B45-4155-8AA0-FA6998009FE3}" name="Arômes" dataDxfId="124"/>
    <tableColumn id="9" xr3:uid="{5211DCA6-C863-4B71-8CD0-B6AC86DC1E96}" name="Arômes2" dataDxfId="123"/>
    <tableColumn id="10" xr3:uid="{6FBA64B8-B474-446D-93D8-061807783D60}" name="Format" dataDxfId="122"/>
    <tableColumn id="11" xr3:uid="{656A1C9D-3FE4-4EEA-8994-FB48DEC46F7F}" name="Cathégorie" dataDxfId="121"/>
    <tableColumn id="12" xr3:uid="{09D34CFD-D0EC-4E80-9E9A-F15D802730EE}" name="Prix" dataDxfId="120"/>
    <tableColumn id="2" xr3:uid="{5736EF34-C1C1-4E4E-B75F-818E26D96607}" name="Poids" dataDxfId="119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35961E-7729-4500-BB01-78DAD180E697}" name="Atomiseur" displayName="Atomiseur" ref="A45:K61" totalsRowShown="0" headerRowDxfId="118" dataDxfId="116" headerRowBorderDxfId="117" tableBorderDxfId="115">
  <autoFilter ref="A45:K61" xr:uid="{95FE1E35-EEFB-484E-ABC6-9D727D96073A}"/>
  <sortState xmlns:xlrd2="http://schemas.microsoft.com/office/spreadsheetml/2017/richdata2" ref="A46:K61">
    <sortCondition ref="A45:A61"/>
  </sortState>
  <tableColumns count="11">
    <tableColumn id="1" xr3:uid="{27CAA52F-A345-4451-B852-6901038C20FE}" name="Code-barres" dataDxfId="114"/>
    <tableColumn id="3" xr3:uid="{BE2F69AF-5012-48C5-A9CD-8B9CD9C07E03}" name="Espèce" dataDxfId="113"/>
    <tableColumn id="4" xr3:uid="{F0B608B3-FD62-4646-97AC-B119CD2C8D6F}" name="Nom produit" dataDxfId="112"/>
    <tableColumn id="5" xr3:uid="{5C8BADB9-1B15-4513-8607-497C392DED2E}" name="Variété" dataDxfId="111"/>
    <tableColumn id="6" xr3:uid="{626D9A1E-0330-4A5A-BF46-D3EC78B9D7A9}" name="Marque" dataDxfId="110"/>
    <tableColumn id="7" xr3:uid="{D22A3481-D160-4C1A-BDC9-C9341F8F489C}" name="Terpène dominant" dataDxfId="109"/>
    <tableColumn id="8" xr3:uid="{9482656A-C034-4A03-80CA-01CA21699859}" name="Arômes" dataDxfId="108"/>
    <tableColumn id="9" xr3:uid="{B2D3D223-A15B-4B68-8386-B81F8D8881A6}" name="Arômes2" dataDxfId="107"/>
    <tableColumn id="10" xr3:uid="{00436FBD-9781-4517-A994-6DA895838DAD}" name="Format" dataDxfId="106"/>
    <tableColumn id="11" xr3:uid="{192EFCC3-7C20-4C6F-B26C-3CEF1D3F84F5}" name="Cathégorie" dataDxfId="105"/>
    <tableColumn id="12" xr3:uid="{BAD8CD7F-8BBE-4B44-9D73-E04AE44ADB42}" name="Prix" dataDxfId="104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EEC232-1E7F-4505-8400-7C49937EBF4A}" name="Gélules" displayName="Gélules" ref="A66:K95" totalsRowShown="0" headerRowDxfId="103" dataDxfId="101" headerRowBorderDxfId="102" tableBorderDxfId="100">
  <autoFilter ref="A66:K95" xr:uid="{6C602173-3C3A-4863-B365-4AAFFAE401F7}"/>
  <sortState xmlns:xlrd2="http://schemas.microsoft.com/office/spreadsheetml/2017/richdata2" ref="A67:K95">
    <sortCondition ref="A66:A95"/>
  </sortState>
  <tableColumns count="11">
    <tableColumn id="1" xr3:uid="{CB14F7D6-A40A-40B6-9DDB-41A43B2BA457}" name="Code-barres" dataDxfId="99"/>
    <tableColumn id="3" xr3:uid="{1B8803CE-35EB-416A-B8AB-9B20109214A5}" name="Espèce" dataDxfId="98"/>
    <tableColumn id="4" xr3:uid="{9C50A988-19E5-4501-83A1-87A5F66DDF6A}" name="Nom produit" dataDxfId="97"/>
    <tableColumn id="5" xr3:uid="{147F4B00-B39A-443F-8E62-6842026A436A}" name="Variété" dataDxfId="96"/>
    <tableColumn id="6" xr3:uid="{AD0D0B04-3E45-4A25-B67D-BB5D1D89AC67}" name="Marque" dataDxfId="95"/>
    <tableColumn id="7" xr3:uid="{C439F233-60C1-4326-9D14-89F853F76DB2}" name="Terpène dominant" dataDxfId="94"/>
    <tableColumn id="8" xr3:uid="{C648B0ED-7154-4988-B6E8-F475EF56445E}" name="Arômes" dataDxfId="93"/>
    <tableColumn id="9" xr3:uid="{2BFD539E-FA70-4DF0-9037-2DE94122B24C}" name="Arômes2" dataDxfId="92"/>
    <tableColumn id="10" xr3:uid="{6879A0CA-7839-441F-AD1F-D38405FC9B65}" name="Format" dataDxfId="91"/>
    <tableColumn id="11" xr3:uid="{C0C3D47B-D2EA-4A3F-81F6-78AB33E6F967}" name="Cathégorie" dataDxfId="90"/>
    <tableColumn id="12" xr3:uid="{A8C1585C-7451-4B1C-8C49-295577C9FE1F}" name="Prix" dataDxfId="8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55FD40-6498-466C-8CD7-C2D0A0D82776}" name="Tableau9" displayName="Tableau9" ref="A100:L139" totalsRowShown="0" headerRowDxfId="88" dataDxfId="86" headerRowBorderDxfId="87" tableBorderDxfId="85">
  <autoFilter ref="A100:L139" xr:uid="{B20B8E74-8DC6-4ACC-9AC6-1661DC172829}"/>
  <sortState xmlns:xlrd2="http://schemas.microsoft.com/office/spreadsheetml/2017/richdata2" ref="A101:L139">
    <sortCondition ref="A100:A139"/>
  </sortState>
  <tableColumns count="12">
    <tableColumn id="1" xr3:uid="{9EBD1221-1DBC-4472-A746-621EC87F0763}" name="Code-barres" dataDxfId="84"/>
    <tableColumn id="2" xr3:uid="{9A367594-2A35-4A51-AD47-38D9FDA598D8}" name="Cultivé au Québec" dataDxfId="83"/>
    <tableColumn id="3" xr3:uid="{70338C9B-8771-49A2-9AAD-9ED69F4C06F9}" name="Espèce" dataDxfId="82"/>
    <tableColumn id="4" xr3:uid="{043855A4-E34F-440F-A92E-C8046A42DA68}" name="Nom produit" dataDxfId="81"/>
    <tableColumn id="5" xr3:uid="{460A6F8C-C230-4CCA-B489-678D80089069}" name="Variété" dataDxfId="80"/>
    <tableColumn id="6" xr3:uid="{5D48052D-49F0-4D50-8D6A-E68884B5EB26}" name="Marque" dataDxfId="79"/>
    <tableColumn id="7" xr3:uid="{9B354E51-741B-4D15-868A-2E358C7FDB14}" name="Terpène dominant" dataDxfId="78"/>
    <tableColumn id="8" xr3:uid="{4DF09E50-B766-4CAB-9A8D-19E5A50C9F7E}" name="Arômes" dataDxfId="77"/>
    <tableColumn id="9" xr3:uid="{9CDF805E-54F1-427C-8146-80ED7B3DE260}" name="Arômes2" dataDxfId="76"/>
    <tableColumn id="10" xr3:uid="{54D1D179-7AB8-4F0C-B68C-599BE1970C08}" name="Format" dataDxfId="75"/>
    <tableColumn id="11" xr3:uid="{55014B19-C1FE-4F75-9801-C0FC30756155}" name="Cathégorie" dataDxfId="74"/>
    <tableColumn id="12" xr3:uid="{F6DC0886-09FD-4176-B46C-ACA0D5F23950}" name="Prix" dataDxfId="7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D560B38-F27B-4465-9694-C955C8303CA5}" name="Infusions" displayName="Infusions" ref="A144:L156" totalsRowShown="0" headerRowDxfId="72" dataDxfId="70" headerRowBorderDxfId="71" tableBorderDxfId="69">
  <autoFilter ref="A144:L156" xr:uid="{E2F6016F-87D9-40CA-9BA3-1EE44AD8E72C}"/>
  <sortState xmlns:xlrd2="http://schemas.microsoft.com/office/spreadsheetml/2017/richdata2" ref="A145:L156">
    <sortCondition ref="A144:A156"/>
  </sortState>
  <tableColumns count="12">
    <tableColumn id="1" xr3:uid="{0FA0CC1B-9010-4B59-AAC3-55684F728A04}" name="Code-barres" dataDxfId="68"/>
    <tableColumn id="2" xr3:uid="{2CB42A1C-8497-4F61-8D6E-C0AE9ACF9C8B}" name="Cultivé au Québec" dataDxfId="67"/>
    <tableColumn id="3" xr3:uid="{070AB0AA-6ECC-4919-9FDA-F9EC3F5BCA2E}" name="Espèce" dataDxfId="66"/>
    <tableColumn id="4" xr3:uid="{FBC7B2BF-DB5C-436D-B171-E4BF2B98915F}" name="Nom produit" dataDxfId="65"/>
    <tableColumn id="5" xr3:uid="{E1FF838A-833F-4578-8F59-D55B0995BF1E}" name="Variété" dataDxfId="64"/>
    <tableColumn id="6" xr3:uid="{96BCCCEC-6F63-4A0E-AE0B-554130956BFC}" name="Marque" dataDxfId="63"/>
    <tableColumn id="7" xr3:uid="{86013611-F265-4580-B7C6-5EE43C74E2A0}" name="Terpène dominant" dataDxfId="62"/>
    <tableColumn id="8" xr3:uid="{E636B42D-6F5A-4754-A988-89A947A52319}" name="Arômes" dataDxfId="61"/>
    <tableColumn id="9" xr3:uid="{B7D1E3D4-CDC7-4B37-AC99-29772FBD11DC}" name="Arômes2" dataDxfId="60"/>
    <tableColumn id="10" xr3:uid="{48C048F8-53FD-4D9A-9231-F27E65DCAF98}" name="Format" dataDxfId="59"/>
    <tableColumn id="11" xr3:uid="{E82845A6-8A3D-45FA-993B-75A4B4EFDF4A}" name="Cathégorie" dataDxfId="58"/>
    <tableColumn id="12" xr3:uid="{675E6666-CA04-4C10-9AB2-FAC17FAD7086}" name="Prix" dataDxfId="57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9BC93D-1E27-4545-A008-282DC2038DEA}" name="donnée_haschich" displayName="donnée_haschich" ref="A5:P92" totalsRowShown="0" headerRowDxfId="49" dataDxfId="47" headerRowBorderDxfId="48" tableBorderDxfId="46">
  <autoFilter ref="A5:P92" xr:uid="{B503C4BD-7770-41BC-B595-B9AF9922FCEC}"/>
  <sortState xmlns:xlrd2="http://schemas.microsoft.com/office/spreadsheetml/2017/richdata2" ref="A6:P92">
    <sortCondition ref="A5:A92"/>
  </sortState>
  <tableColumns count="16">
    <tableColumn id="18" xr3:uid="{7129269B-A018-4081-94DC-AF1D881D0B05}" name="Nom (Dominance)" dataDxfId="45">
      <calculatedColumnFormula>_xlfn.CONCAT(donnée_haschich[[#This Row],[Nom produit]]," - ", donnée_haschich[[#This Row],[Variété]], IF(donnée_haschich[[#This Row],[Dominance ]]="-",,_xlfn.CONCAT(" (",donnée_haschich[[#This Row],[Dominance ]],")")))</calculatedColumnFormula>
    </tableColumn>
    <tableColumn id="1" xr3:uid="{C4E6C9D9-F6AF-4956-B6BA-C1C0947D12AF}" name="Code-barres" dataDxfId="44"/>
    <tableColumn id="2" xr3:uid="{81DD4B32-B984-4438-BE84-7B652B3E5543}" name="Cultivé au Québec" dataDxfId="43"/>
    <tableColumn id="3" xr3:uid="{48E3C9D3-5740-4144-A901-1860C2999C02}" name="Espèce" dataDxfId="42"/>
    <tableColumn id="4" xr3:uid="{B64D7D5A-729C-4D0F-A612-B8C61D687A87}" name="Dominance " dataDxfId="41"/>
    <tableColumn id="5" xr3:uid="{7A4EB650-9212-4BBC-B2EF-E1FBE5B9261F}" name="Nom produit" dataDxfId="40"/>
    <tableColumn id="6" xr3:uid="{4EFE83FE-9E74-4C7F-877C-87AF0FC81E5B}" name="Variété" dataDxfId="39"/>
    <tableColumn id="7" xr3:uid="{F13701E9-BDAD-4E59-B8ED-47A0A33F7976}" name="Marque" dataDxfId="38"/>
    <tableColumn id="9" xr3:uid="{A1598F5F-6C5A-4E0D-9182-C2565567C85D}" name="Arômes" dataDxfId="37"/>
    <tableColumn id="10" xr3:uid="{629768A1-4017-496B-A220-C8F219AA6062}" name="Arômes2" dataDxfId="36"/>
    <tableColumn id="11" xr3:uid="{BBF61358-C0E6-4F01-894E-7191580AF500}" name="Format" dataDxfId="35"/>
    <tableColumn id="12" xr3:uid="{EF06A551-6899-4A53-AEF7-3902363F28F8}" name="Cathégorie" dataDxfId="34"/>
    <tableColumn id="13" xr3:uid="{C7D1FF88-9B40-4620-AC6F-92A57794D58D}" name="Couleur externe" dataDxfId="33"/>
    <tableColumn id="14" xr3:uid="{7DCC884E-F016-427B-95CA-05A87D8D6806}" name="Texture" dataDxfId="32"/>
    <tableColumn id="15" xr3:uid="{7B139FA1-2BDA-4D32-AEC5-4B6B15FAB785}" name="Prix" dataDxfId="31"/>
    <tableColumn id="8" xr3:uid="{91DF9439-F5DD-49E5-852E-1CEBE8B96A1F}" name="retrait" dataDxfId="30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34712B-9A78-4459-836F-7E58902DE65A}" name="Kiefs" displayName="Kiefs" ref="A97:M104" totalsRowShown="0" headerRowDxfId="29" dataDxfId="27" headerRowBorderDxfId="28" tableBorderDxfId="26">
  <autoFilter ref="A97:M104" xr:uid="{1A1CE1F7-63AB-4EE3-8A29-CF98E7CE83BA}"/>
  <sortState xmlns:xlrd2="http://schemas.microsoft.com/office/spreadsheetml/2017/richdata2" ref="A98:M104">
    <sortCondition ref="A97:A104"/>
  </sortState>
  <tableColumns count="13">
    <tableColumn id="1" xr3:uid="{0C9E602F-2940-4810-BB98-8DB7D7B6EE61}" name="Nom" dataDxfId="25"/>
    <tableColumn id="2" xr3:uid="{20AF9BBC-0404-4DF8-944C-846B884100BD}" name="Cultivé au Québec" dataDxfId="24"/>
    <tableColumn id="3" xr3:uid="{D372514C-C7D6-41DC-9886-CF8839940034}" name="Espèce" dataDxfId="23"/>
    <tableColumn id="4" xr3:uid="{E9706B99-A411-4E13-B48F-E35554A77DF3}" name="code" dataDxfId="22"/>
    <tableColumn id="5" xr3:uid="{FA52F8D4-4F51-44AD-BBB2-637BE05B8EBB}" name="Variété" dataDxfId="21"/>
    <tableColumn id="6" xr3:uid="{EF96C2B7-5E76-43E7-B1FA-7150327E6867}" name="Marque" dataDxfId="20"/>
    <tableColumn id="7" xr3:uid="{7EB97E2F-209E-462B-A9D1-E41EBBBC8AE1}" name="Terpène dominant" dataDxfId="19"/>
    <tableColumn id="8" xr3:uid="{BA6E7A9C-2353-46A3-919D-6D3135282E5C}" name="Arômes" dataDxfId="18"/>
    <tableColumn id="9" xr3:uid="{A722F421-9A21-400F-8463-4FD68CFAECEC}" name="Arômes2" dataDxfId="17"/>
    <tableColumn id="10" xr3:uid="{D56E25CA-06A7-48F6-BE03-D1275D070A10}" name="Format" dataDxfId="16"/>
    <tableColumn id="11" xr3:uid="{8D50093D-1469-44C4-B1ED-279D58B200A1}" name="Cathégorie" dataDxfId="15"/>
    <tableColumn id="12" xr3:uid="{3FAEE4F2-6773-40E9-8E2A-79FA084DA27D}" name="Prix" dataDxfId="14"/>
    <tableColumn id="13" xr3:uid="{B42FE91E-2B3A-434E-A587-B1F14A116EC4}" name="retrait" dataDxfId="13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7C640-845D-4744-9C45-5BD89CB83986}" name="Tableau19" displayName="Tableau19" ref="A109:N150" totalsRowShown="0">
  <autoFilter ref="A109:N150" xr:uid="{EBFC5B99-A9F7-41B7-916F-1A5F5D783B8E}"/>
  <sortState xmlns:xlrd2="http://schemas.microsoft.com/office/spreadsheetml/2017/richdata2" ref="A110:N148">
    <sortCondition ref="A109:A148"/>
  </sortState>
  <tableColumns count="14">
    <tableColumn id="1" xr3:uid="{441912C1-3DA9-4F83-A5EE-10152637B61C}" name="Nom produit" dataDxfId="12"/>
    <tableColumn id="2" xr3:uid="{F61936A1-BEDF-4349-810B-B1BE50D2D6E4}" name="Code-barres"/>
    <tableColumn id="3" xr3:uid="{E3F8191C-209D-4E67-B080-E0344EC04565}" name="Dominance Hybride (ds)"/>
    <tableColumn id="4" xr3:uid="{CC73C7E2-989B-4DD7-A17A-885B6FC90046}" name="Variété"/>
    <tableColumn id="5" xr3:uid="{DE5DD9E7-5B84-4600-A7C8-6BD90AAF81C9}" name="Marque"/>
    <tableColumn id="6" xr3:uid="{8D459B54-B452-44B2-9FE5-EA45429690AA}" name="Terpène dominant"/>
    <tableColumn id="12" xr3:uid="{22BEDB9F-4190-406A-8571-D50A331E14D0}" name="Arômes" dataDxfId="11">
      <calculatedColumnFormula>_xlfn.CONCAT(Tableau19[[#This Row],[Arômes4]], " / ",Tableau19[[#This Row],[Arômes2]], " / ",Tableau19[[#This Row],[Arômes3]] )</calculatedColumnFormula>
    </tableColumn>
    <tableColumn id="7" xr3:uid="{EE772554-BD38-4300-9335-72FBE7B39295}" name="Arômes4" dataDxfId="10" dataCellStyle="Monétaire"/>
    <tableColumn id="8" xr3:uid="{038C2440-17BA-4EFF-B48C-C3E94BF1C35C}" name="Arômes2" dataDxfId="9" dataCellStyle="Monétaire"/>
    <tableColumn id="9" xr3:uid="{AFAD5B54-DC5E-494A-9BBB-DDD6AA7AB9BB}" name="Arômes3" dataDxfId="8" dataCellStyle="Monétaire"/>
    <tableColumn id="10" xr3:uid="{11AEC399-5369-4137-9663-260B77D86B2A}" name="Format"/>
    <tableColumn id="11" xr3:uid="{4A157785-F76C-4334-A2D8-BFF6DB43E39A}" name="Prix" dataDxfId="7"/>
    <tableColumn id="13" xr3:uid="{F48E0C85-9794-4617-8DA8-6A52E8BA053C}" name="composante" dataDxfId="6"/>
    <tableColumn id="14" xr3:uid="{B245C478-4C54-4FB7-A0A2-0C4CA50AC525}" name="retrait" dataDxfId="5"/>
  </tableColumns>
  <tableStyleInfo name="TableStyleMedium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39496D8-C792-4ED8-B8A7-BAE3E3A6E721}" name="concentrés" displayName="concentrés" ref="A152:M160" totalsRowShown="0" headerRowDxfId="4" headerRowBorderDxfId="3" tableBorderDxfId="2">
  <autoFilter ref="A152:M160" xr:uid="{539496D8-C792-4ED8-B8A7-BAE3E3A6E721}"/>
  <sortState xmlns:xlrd2="http://schemas.microsoft.com/office/spreadsheetml/2017/richdata2" ref="A153:M160">
    <sortCondition ref="A152:A160"/>
  </sortState>
  <tableColumns count="13">
    <tableColumn id="1" xr3:uid="{C9B1E141-8012-450C-BA23-AB6C470BFF3B}" name="Nom produit"/>
    <tableColumn id="2" xr3:uid="{DAEF3131-6E8F-45F3-B900-016CFB2835C1}" name="Code-barres"/>
    <tableColumn id="3" xr3:uid="{4F8A2C84-3856-42E5-B0B5-44F5FF570F22}" name="Dominance Hybride (ds)"/>
    <tableColumn id="4" xr3:uid="{A85DE375-4C6E-4601-83BB-AC3AD483DFE1}" name="Variété"/>
    <tableColumn id="5" xr3:uid="{B326143F-9B02-414F-83A0-793671301599}" name="Marque"/>
    <tableColumn id="6" xr3:uid="{AFE86B1F-066E-4D78-9C33-65BDDF9C6443}" name="Terpène dominant"/>
    <tableColumn id="7" xr3:uid="{C71357F2-5B7B-4DF5-8481-F8589343EFC2}" name="Arômes"/>
    <tableColumn id="8" xr3:uid="{3EAFA501-E761-46E8-9BCD-BC272A7C4818}" name="Arômes4"/>
    <tableColumn id="9" xr3:uid="{AE2EEEBE-9FF5-4872-BC48-BBAC2B6FFDE2}" name="Arômes2"/>
    <tableColumn id="10" xr3:uid="{59D4DB9D-9885-4A0D-B45A-6B526A60687C}" name="Arômes3"/>
    <tableColumn id="11" xr3:uid="{13C6F348-6643-4079-983B-43255B0A373A}" name="Format"/>
    <tableColumn id="12" xr3:uid="{7E33858D-7146-466A-9474-1901BC1DE53B}" name="Prix" dataDxfId="1" dataCellStyle="Monétaire"/>
    <tableColumn id="13" xr3:uid="{B353E929-4865-4828-A511-5EEAB8FCB805}" name="retra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3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15" Type="http://schemas.openxmlformats.org/officeDocument/2006/relationships/table" Target="../tables/table9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3.xml"/><Relationship Id="rId1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5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29.xml"/><Relationship Id="rId4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A39D1-6ED3-4223-A937-E66D0508C445}">
  <sheetPr codeName="Feuil5">
    <pageSetUpPr fitToPage="1"/>
  </sheetPr>
  <dimension ref="A1:O128"/>
  <sheetViews>
    <sheetView zoomScale="85" zoomScaleNormal="85" workbookViewId="0">
      <selection activeCell="K18" sqref="K18"/>
    </sheetView>
  </sheetViews>
  <sheetFormatPr baseColWidth="10" defaultColWidth="11.42578125" defaultRowHeight="15" x14ac:dyDescent="0.25"/>
  <cols>
    <col min="1" max="1" width="2.85546875" customWidth="1"/>
    <col min="2" max="2" width="43.5703125" bestFit="1" customWidth="1"/>
    <col min="3" max="3" width="14.140625" bestFit="1" customWidth="1"/>
    <col min="4" max="4" width="21.85546875" bestFit="1" customWidth="1"/>
    <col min="5" max="5" width="13.5703125" customWidth="1"/>
    <col min="6" max="6" width="14.140625" style="11" bestFit="1" customWidth="1"/>
    <col min="7" max="7" width="21.7109375" style="11" customWidth="1"/>
    <col min="8" max="8" width="17.140625" bestFit="1" customWidth="1"/>
    <col min="9" max="9" width="15.28515625" customWidth="1"/>
  </cols>
  <sheetData>
    <row r="1" spans="1:14" ht="32.25" customHeight="1" thickBot="1" x14ac:dyDescent="0.4">
      <c r="A1" s="145" t="s">
        <v>0</v>
      </c>
      <c r="B1" s="593" t="s">
        <v>1</v>
      </c>
      <c r="C1" s="593"/>
      <c r="D1" s="593"/>
      <c r="E1" s="593"/>
      <c r="F1" s="593"/>
      <c r="G1" s="593"/>
      <c r="H1" s="593"/>
      <c r="I1" s="59"/>
      <c r="J1" s="591" t="s">
        <v>2</v>
      </c>
      <c r="K1" s="591"/>
      <c r="L1" s="591"/>
      <c r="M1" s="591"/>
    </row>
    <row r="2" spans="1:14" ht="17.25" customHeight="1" thickTop="1" thickBot="1" x14ac:dyDescent="0.35">
      <c r="B2" s="585" t="s">
        <v>3</v>
      </c>
      <c r="C2" s="586"/>
      <c r="D2" s="44" t="s">
        <v>4</v>
      </c>
      <c r="E2" s="43" t="s">
        <v>5</v>
      </c>
      <c r="F2" s="144" t="s">
        <v>6</v>
      </c>
      <c r="G2" s="41" t="s">
        <v>7</v>
      </c>
      <c r="H2" s="40" t="s">
        <v>8</v>
      </c>
      <c r="I2" s="39"/>
      <c r="K2" s="143" t="s">
        <v>9</v>
      </c>
      <c r="L2" s="143" t="s">
        <v>10</v>
      </c>
      <c r="M2" s="133" t="s">
        <v>11</v>
      </c>
      <c r="N2" s="142" t="s">
        <v>12</v>
      </c>
    </row>
    <row r="3" spans="1:14" ht="3.75" customHeight="1" thickTop="1" thickBot="1" x14ac:dyDescent="0.35">
      <c r="B3" s="95"/>
      <c r="C3" s="94"/>
      <c r="D3" s="141"/>
      <c r="E3" s="140"/>
      <c r="F3" s="139"/>
      <c r="G3" s="138"/>
      <c r="H3" s="89"/>
      <c r="I3" s="39"/>
      <c r="K3" s="83"/>
      <c r="L3" s="83"/>
      <c r="M3" s="133"/>
      <c r="N3" s="132"/>
    </row>
    <row r="4" spans="1:14" ht="17.25" customHeight="1" thickTop="1" thickBot="1" x14ac:dyDescent="0.3">
      <c r="B4" s="594" t="s">
        <v>13</v>
      </c>
      <c r="C4" s="595"/>
      <c r="D4" s="137"/>
      <c r="E4" s="88"/>
      <c r="F4" s="136"/>
      <c r="G4" s="135"/>
      <c r="H4" s="134"/>
      <c r="I4" s="78"/>
      <c r="K4" s="83"/>
      <c r="L4" s="83"/>
      <c r="M4" s="133"/>
      <c r="N4" s="132"/>
    </row>
    <row r="5" spans="1:14" ht="18" thickTop="1" thickBot="1" x14ac:dyDescent="0.3">
      <c r="B5" s="577" t="s">
        <v>14</v>
      </c>
      <c r="C5" s="578"/>
      <c r="D5" s="129"/>
      <c r="E5" s="6"/>
      <c r="F5" s="128"/>
      <c r="G5" s="80"/>
      <c r="H5" s="79"/>
      <c r="I5" s="78"/>
      <c r="K5" s="131">
        <v>33.5</v>
      </c>
      <c r="L5" s="131">
        <v>28.35</v>
      </c>
      <c r="M5" s="130">
        <v>30</v>
      </c>
      <c r="N5" s="125">
        <f>(K5*L5)/M5</f>
        <v>31.657500000000002</v>
      </c>
    </row>
    <row r="6" spans="1:14" ht="18" thickTop="1" thickBot="1" x14ac:dyDescent="0.3">
      <c r="B6" s="577" t="s">
        <v>15</v>
      </c>
      <c r="C6" s="578"/>
      <c r="D6" s="129"/>
      <c r="E6" s="6"/>
      <c r="F6" s="128"/>
      <c r="G6" s="80"/>
      <c r="H6" s="79"/>
      <c r="I6" s="78"/>
      <c r="K6" s="127"/>
      <c r="L6" s="127"/>
      <c r="M6" s="126"/>
      <c r="N6" s="125"/>
    </row>
    <row r="7" spans="1:14" ht="17.25" customHeight="1" thickTop="1" x14ac:dyDescent="0.25">
      <c r="B7" s="583" t="s">
        <v>16</v>
      </c>
      <c r="C7" s="584"/>
      <c r="D7" s="74"/>
      <c r="E7" s="74"/>
      <c r="F7" s="107"/>
      <c r="G7" s="72"/>
      <c r="H7" s="71"/>
      <c r="I7" s="29"/>
    </row>
    <row r="8" spans="1:14" ht="17.25" customHeight="1" x14ac:dyDescent="0.25">
      <c r="B8" s="583" t="s">
        <v>17</v>
      </c>
      <c r="C8" s="584"/>
      <c r="D8" s="74"/>
      <c r="E8" s="74"/>
      <c r="F8" s="107"/>
      <c r="G8" s="72"/>
      <c r="H8" s="71"/>
      <c r="I8" s="29"/>
    </row>
    <row r="9" spans="1:14" ht="17.25" customHeight="1" x14ac:dyDescent="0.25">
      <c r="B9" s="583" t="s">
        <v>18</v>
      </c>
      <c r="C9" s="584"/>
      <c r="D9" s="74"/>
      <c r="E9" s="74"/>
      <c r="F9" s="107"/>
      <c r="G9" s="72"/>
      <c r="H9" s="71"/>
      <c r="I9" s="29"/>
    </row>
    <row r="10" spans="1:14" ht="17.25" customHeight="1" x14ac:dyDescent="0.25">
      <c r="B10" s="583" t="s">
        <v>19</v>
      </c>
      <c r="C10" s="584"/>
      <c r="D10" s="74"/>
      <c r="E10" s="74"/>
      <c r="F10" s="107"/>
      <c r="G10" s="72"/>
      <c r="H10" s="71"/>
      <c r="I10" s="29"/>
    </row>
    <row r="11" spans="1:14" ht="17.25" customHeight="1" x14ac:dyDescent="0.25">
      <c r="B11" s="583" t="s">
        <v>20</v>
      </c>
      <c r="C11" s="584"/>
      <c r="D11" s="74"/>
      <c r="E11" s="74"/>
      <c r="F11" s="107"/>
      <c r="G11" s="72"/>
      <c r="H11" s="71"/>
      <c r="I11" s="29"/>
    </row>
    <row r="12" spans="1:14" ht="17.25" customHeight="1" x14ac:dyDescent="0.25">
      <c r="B12" s="583" t="s">
        <v>21</v>
      </c>
      <c r="C12" s="584"/>
      <c r="D12" s="74"/>
      <c r="E12" s="74"/>
      <c r="F12" s="107"/>
      <c r="G12" s="72"/>
      <c r="H12" s="71"/>
      <c r="I12" s="29"/>
    </row>
    <row r="13" spans="1:14" ht="17.25" customHeight="1" x14ac:dyDescent="0.25">
      <c r="B13" s="583" t="s">
        <v>22</v>
      </c>
      <c r="C13" s="584"/>
      <c r="D13" s="74"/>
      <c r="E13" s="74"/>
      <c r="F13" s="107"/>
      <c r="G13" s="72"/>
      <c r="H13" s="71"/>
      <c r="I13" s="29"/>
    </row>
    <row r="14" spans="1:14" ht="17.25" customHeight="1" x14ac:dyDescent="0.25">
      <c r="B14" s="583" t="s">
        <v>23</v>
      </c>
      <c r="C14" s="584"/>
      <c r="D14" s="74"/>
      <c r="E14" s="74"/>
      <c r="F14" s="107"/>
      <c r="G14" s="72"/>
      <c r="H14" s="71"/>
      <c r="I14" s="29"/>
    </row>
    <row r="15" spans="1:14" ht="17.25" customHeight="1" x14ac:dyDescent="0.25">
      <c r="B15" s="583" t="s">
        <v>24</v>
      </c>
      <c r="C15" s="584"/>
      <c r="D15" s="74"/>
      <c r="E15" s="74"/>
      <c r="F15" s="107"/>
      <c r="G15" s="72"/>
      <c r="H15" s="71"/>
      <c r="I15" s="29"/>
    </row>
    <row r="16" spans="1:14" ht="17.25" customHeight="1" x14ac:dyDescent="0.25">
      <c r="B16" s="583" t="s">
        <v>25</v>
      </c>
      <c r="C16" s="584"/>
      <c r="D16" s="6"/>
      <c r="E16" s="74"/>
      <c r="F16" s="107"/>
      <c r="G16" s="72"/>
      <c r="H16" s="71"/>
      <c r="I16" s="29"/>
    </row>
    <row r="17" spans="1:9" ht="17.25" customHeight="1" x14ac:dyDescent="0.25">
      <c r="B17" s="583" t="s">
        <v>26</v>
      </c>
      <c r="C17" s="584"/>
      <c r="D17" s="6"/>
      <c r="E17" s="74"/>
      <c r="F17" s="107"/>
      <c r="G17" s="72"/>
      <c r="H17" s="71"/>
      <c r="I17" s="29"/>
    </row>
    <row r="18" spans="1:9" ht="17.25" customHeight="1" thickBot="1" x14ac:dyDescent="0.3">
      <c r="B18" s="575" t="s">
        <v>27</v>
      </c>
      <c r="C18" s="576"/>
      <c r="D18" s="70"/>
      <c r="E18" s="70"/>
      <c r="F18" s="104"/>
      <c r="G18" s="68"/>
      <c r="H18" s="67"/>
      <c r="I18" s="29"/>
    </row>
    <row r="19" spans="1:9" ht="12" customHeight="1" x14ac:dyDescent="0.25">
      <c r="F19"/>
      <c r="G19"/>
    </row>
    <row r="20" spans="1:9" s="123" customFormat="1" ht="32.25" customHeight="1" thickBot="1" x14ac:dyDescent="0.55000000000000004">
      <c r="A20" s="100"/>
      <c r="B20" s="592" t="s">
        <v>28</v>
      </c>
      <c r="C20" s="592"/>
      <c r="D20" s="592"/>
      <c r="E20" s="592"/>
      <c r="F20" s="592"/>
      <c r="G20" s="592"/>
      <c r="H20" s="592"/>
      <c r="I20" s="124"/>
    </row>
    <row r="21" spans="1:9" ht="17.25" customHeight="1" thickBot="1" x14ac:dyDescent="0.35">
      <c r="B21" s="600" t="s">
        <v>3</v>
      </c>
      <c r="C21" s="601"/>
      <c r="D21" s="122" t="s">
        <v>4</v>
      </c>
      <c r="E21" s="122" t="s">
        <v>5</v>
      </c>
      <c r="F21" s="121" t="s">
        <v>6</v>
      </c>
      <c r="G21" s="120" t="s">
        <v>29</v>
      </c>
      <c r="H21" s="119" t="s">
        <v>30</v>
      </c>
      <c r="I21" s="112"/>
    </row>
    <row r="22" spans="1:9" ht="3.75" customHeight="1" x14ac:dyDescent="0.3">
      <c r="B22" s="118"/>
      <c r="C22" s="117"/>
      <c r="D22" s="116"/>
      <c r="E22" s="116"/>
      <c r="F22" s="115"/>
      <c r="G22" s="114"/>
      <c r="H22" s="113"/>
      <c r="I22" s="112"/>
    </row>
    <row r="23" spans="1:9" ht="17.25" customHeight="1" x14ac:dyDescent="0.25">
      <c r="B23" s="581" t="s">
        <v>31</v>
      </c>
      <c r="C23" s="582"/>
      <c r="D23" s="111"/>
      <c r="E23" s="111"/>
      <c r="F23" s="110"/>
      <c r="G23" s="109"/>
      <c r="H23" s="108"/>
      <c r="I23" s="29"/>
    </row>
    <row r="24" spans="1:9" ht="17.25" customHeight="1" x14ac:dyDescent="0.25">
      <c r="B24" s="573" t="s">
        <v>32</v>
      </c>
      <c r="C24" s="574"/>
      <c r="D24" s="74"/>
      <c r="E24" s="74"/>
      <c r="F24" s="107"/>
      <c r="G24" s="106"/>
      <c r="H24" s="105"/>
      <c r="I24" s="101"/>
    </row>
    <row r="25" spans="1:9" ht="17.25" customHeight="1" x14ac:dyDescent="0.25">
      <c r="B25" s="573" t="s">
        <v>33</v>
      </c>
      <c r="C25" s="574"/>
      <c r="D25" s="74"/>
      <c r="E25" s="74"/>
      <c r="F25" s="107"/>
      <c r="G25" s="106"/>
      <c r="H25" s="105"/>
      <c r="I25" s="101"/>
    </row>
    <row r="26" spans="1:9" ht="17.25" customHeight="1" x14ac:dyDescent="0.25">
      <c r="B26" s="573" t="s">
        <v>34</v>
      </c>
      <c r="C26" s="574"/>
      <c r="D26" s="74"/>
      <c r="E26" s="74"/>
      <c r="F26" s="107"/>
      <c r="G26" s="106"/>
      <c r="H26" s="105"/>
      <c r="I26" s="101"/>
    </row>
    <row r="27" spans="1:9" ht="17.25" customHeight="1" x14ac:dyDescent="0.25">
      <c r="B27" s="573" t="s">
        <v>35</v>
      </c>
      <c r="C27" s="574"/>
      <c r="D27" s="74"/>
      <c r="E27" s="74"/>
      <c r="F27" s="107"/>
      <c r="G27" s="106"/>
      <c r="H27" s="105"/>
      <c r="I27" s="101"/>
    </row>
    <row r="28" spans="1:9" ht="17.25" customHeight="1" x14ac:dyDescent="0.25">
      <c r="B28" s="573" t="s">
        <v>36</v>
      </c>
      <c r="C28" s="574"/>
      <c r="D28" s="74"/>
      <c r="E28" s="74"/>
      <c r="F28" s="107"/>
      <c r="G28" s="106"/>
      <c r="H28" s="105"/>
      <c r="I28" s="101"/>
    </row>
    <row r="29" spans="1:9" ht="17.25" customHeight="1" x14ac:dyDescent="0.25">
      <c r="B29" s="573" t="s">
        <v>37</v>
      </c>
      <c r="C29" s="574"/>
      <c r="D29" s="74"/>
      <c r="E29" s="74"/>
      <c r="F29" s="107"/>
      <c r="G29" s="106"/>
      <c r="H29" s="105"/>
      <c r="I29" s="101"/>
    </row>
    <row r="30" spans="1:9" ht="17.25" customHeight="1" thickBot="1" x14ac:dyDescent="0.3">
      <c r="B30" s="589" t="s">
        <v>38</v>
      </c>
      <c r="C30" s="590"/>
      <c r="D30" s="70"/>
      <c r="E30" s="70"/>
      <c r="F30" s="104"/>
      <c r="G30" s="103"/>
      <c r="H30" s="102"/>
      <c r="I30" s="101"/>
    </row>
    <row r="31" spans="1:9" ht="11.25" customHeight="1" x14ac:dyDescent="0.25">
      <c r="F31"/>
      <c r="G31"/>
    </row>
    <row r="32" spans="1:9" ht="32.25" customHeight="1" thickBot="1" x14ac:dyDescent="0.45">
      <c r="A32" s="100"/>
      <c r="B32" s="593" t="s">
        <v>39</v>
      </c>
      <c r="C32" s="593"/>
      <c r="D32" s="593"/>
      <c r="E32" s="593"/>
      <c r="F32" s="593"/>
      <c r="G32" s="593"/>
      <c r="H32" s="593"/>
      <c r="I32" s="59"/>
    </row>
    <row r="33" spans="2:14" ht="18" customHeight="1" thickBot="1" x14ac:dyDescent="0.35">
      <c r="B33" s="585" t="s">
        <v>3</v>
      </c>
      <c r="C33" s="586"/>
      <c r="D33" s="99" t="s">
        <v>4</v>
      </c>
      <c r="E33" s="98" t="s">
        <v>5</v>
      </c>
      <c r="F33" s="97" t="s">
        <v>6</v>
      </c>
      <c r="G33" s="96" t="s">
        <v>7</v>
      </c>
      <c r="H33" s="40" t="s">
        <v>8</v>
      </c>
      <c r="I33" s="39" t="s">
        <v>40</v>
      </c>
      <c r="J33" s="5" t="s">
        <v>41</v>
      </c>
    </row>
    <row r="34" spans="2:14" ht="3.75" customHeight="1" thickBot="1" x14ac:dyDescent="0.35">
      <c r="B34" s="95"/>
      <c r="C34" s="94"/>
      <c r="D34" s="93"/>
      <c r="E34" s="92"/>
      <c r="F34" s="91"/>
      <c r="G34" s="90"/>
      <c r="H34" s="89"/>
      <c r="I34" s="39"/>
    </row>
    <row r="35" spans="2:14" ht="18" customHeight="1" x14ac:dyDescent="0.25">
      <c r="B35" s="587" t="s">
        <v>42</v>
      </c>
      <c r="C35" s="588"/>
      <c r="D35" s="88"/>
      <c r="E35" s="88"/>
      <c r="F35" s="87"/>
      <c r="G35" s="86"/>
      <c r="H35" s="85"/>
      <c r="I35" s="29"/>
      <c r="K35" s="83"/>
      <c r="L35" s="83"/>
      <c r="M35" s="83"/>
      <c r="N35" s="82"/>
    </row>
    <row r="36" spans="2:14" ht="18" customHeight="1" x14ac:dyDescent="0.25">
      <c r="B36" s="583" t="s">
        <v>43</v>
      </c>
      <c r="C36" s="584"/>
      <c r="D36" s="6"/>
      <c r="E36" s="6"/>
      <c r="F36" s="81"/>
      <c r="G36" s="84"/>
      <c r="H36" s="71"/>
      <c r="I36" s="29"/>
      <c r="K36" s="83"/>
      <c r="L36" s="83"/>
      <c r="M36" s="83"/>
      <c r="N36" s="82"/>
    </row>
    <row r="37" spans="2:14" ht="17.25" customHeight="1" x14ac:dyDescent="0.25">
      <c r="B37" s="577" t="s">
        <v>44</v>
      </c>
      <c r="C37" s="578"/>
      <c r="D37" s="6"/>
      <c r="E37" s="6"/>
      <c r="F37" s="81"/>
      <c r="G37" s="80"/>
      <c r="H37" s="79"/>
      <c r="I37" s="78"/>
    </row>
    <row r="38" spans="2:14" ht="16.5" x14ac:dyDescent="0.25">
      <c r="B38" s="577" t="s">
        <v>45</v>
      </c>
      <c r="C38" s="578"/>
      <c r="D38" s="6"/>
      <c r="E38" s="6"/>
      <c r="F38" s="81"/>
      <c r="G38" s="80"/>
      <c r="H38" s="79"/>
      <c r="I38" s="78"/>
    </row>
    <row r="39" spans="2:14" ht="17.25" customHeight="1" x14ac:dyDescent="0.25">
      <c r="B39" s="573" t="s">
        <v>46</v>
      </c>
      <c r="C39" s="574"/>
      <c r="D39" s="74"/>
      <c r="E39" s="74"/>
      <c r="F39" s="73"/>
      <c r="G39" s="77"/>
      <c r="H39" s="76"/>
      <c r="I39" s="75"/>
    </row>
    <row r="40" spans="2:14" ht="17.25" customHeight="1" x14ac:dyDescent="0.25">
      <c r="B40" s="573" t="s">
        <v>47</v>
      </c>
      <c r="C40" s="574"/>
      <c r="D40" s="74"/>
      <c r="E40" s="74"/>
      <c r="F40" s="73"/>
      <c r="G40" s="72"/>
      <c r="H40" s="71"/>
      <c r="I40" s="29"/>
    </row>
    <row r="41" spans="2:14" ht="17.25" customHeight="1" x14ac:dyDescent="0.25">
      <c r="B41" s="573" t="s">
        <v>48</v>
      </c>
      <c r="C41" s="574"/>
      <c r="D41" s="74"/>
      <c r="E41" s="74"/>
      <c r="F41" s="73"/>
      <c r="G41" s="72"/>
      <c r="H41" s="71"/>
      <c r="I41" s="29"/>
    </row>
    <row r="42" spans="2:14" ht="17.25" customHeight="1" x14ac:dyDescent="0.25">
      <c r="B42" s="573" t="s">
        <v>49</v>
      </c>
      <c r="C42" s="574"/>
      <c r="D42" s="74"/>
      <c r="E42" s="74"/>
      <c r="F42" s="73"/>
      <c r="G42" s="72"/>
      <c r="H42" s="71"/>
      <c r="I42" s="29"/>
    </row>
    <row r="43" spans="2:14" ht="17.25" customHeight="1" thickBot="1" x14ac:dyDescent="0.3">
      <c r="B43" s="575" t="s">
        <v>27</v>
      </c>
      <c r="C43" s="576"/>
      <c r="D43" s="70"/>
      <c r="E43" s="70"/>
      <c r="F43" s="69"/>
      <c r="G43" s="68"/>
      <c r="H43" s="67"/>
      <c r="I43" s="29"/>
    </row>
    <row r="44" spans="2:14" ht="6.75" customHeight="1" thickBot="1" x14ac:dyDescent="0.3">
      <c r="B44" s="66"/>
      <c r="C44" s="65"/>
      <c r="D44" s="65"/>
      <c r="E44" s="64"/>
      <c r="F44" s="63"/>
      <c r="G44" s="62"/>
      <c r="H44" s="61"/>
      <c r="I44" s="60"/>
    </row>
    <row r="45" spans="2:14" ht="29.25" customHeight="1" x14ac:dyDescent="0.25">
      <c r="B45" s="593"/>
      <c r="C45" s="593"/>
      <c r="D45" s="593"/>
      <c r="E45" s="593"/>
      <c r="F45" s="593"/>
      <c r="G45" s="593"/>
      <c r="H45" s="593"/>
      <c r="I45" s="59"/>
    </row>
    <row r="46" spans="2:14" ht="5.25" customHeight="1" thickBot="1" x14ac:dyDescent="0.3">
      <c r="B46" s="59"/>
      <c r="C46" s="59"/>
      <c r="D46" s="59"/>
      <c r="E46" s="59"/>
      <c r="F46" s="59"/>
      <c r="G46" s="59"/>
    </row>
    <row r="47" spans="2:14" ht="16.5" customHeight="1" thickBot="1" x14ac:dyDescent="0.35">
      <c r="B47" s="571" t="s">
        <v>3</v>
      </c>
      <c r="C47" s="572"/>
      <c r="D47" s="58" t="s">
        <v>4</v>
      </c>
      <c r="E47" s="57" t="s">
        <v>5</v>
      </c>
      <c r="F47" s="56" t="s">
        <v>6</v>
      </c>
      <c r="G47" s="55" t="s">
        <v>40</v>
      </c>
      <c r="H47" s="54" t="s">
        <v>41</v>
      </c>
      <c r="I47" s="39"/>
    </row>
    <row r="48" spans="2:14" ht="16.5" customHeight="1" x14ac:dyDescent="0.25">
      <c r="B48" s="579" t="s">
        <v>50</v>
      </c>
      <c r="C48" s="580"/>
      <c r="D48" s="37" t="str">
        <f>IFERROR(VLOOKUP(B48,#REF!,2,0),"")</f>
        <v/>
      </c>
      <c r="E48" s="37" t="str">
        <f>IFERROR(VLOOKUP(B48,#REF!,3,0),"")</f>
        <v/>
      </c>
      <c r="F48" s="53"/>
      <c r="G48" s="35"/>
      <c r="H48" s="52"/>
      <c r="I48" s="29"/>
    </row>
    <row r="49" spans="2:9" ht="16.5" customHeight="1" x14ac:dyDescent="0.25">
      <c r="B49" s="569" t="s">
        <v>51</v>
      </c>
      <c r="C49" s="570"/>
      <c r="D49" s="22" t="str">
        <f>IFERROR(VLOOKUP(B49,#REF!,2,0),"")</f>
        <v/>
      </c>
      <c r="E49" s="22" t="str">
        <f>IFERROR(VLOOKUP(B49,#REF!,3,0),"")</f>
        <v/>
      </c>
      <c r="F49" s="51"/>
      <c r="G49" s="20"/>
      <c r="H49" s="50"/>
      <c r="I49" s="29"/>
    </row>
    <row r="50" spans="2:9" ht="16.5" customHeight="1" x14ac:dyDescent="0.25">
      <c r="B50" s="569" t="s">
        <v>52</v>
      </c>
      <c r="C50" s="570"/>
      <c r="D50" s="22" t="str">
        <f>IFERROR(VLOOKUP(B50,#REF!,2,0),"")</f>
        <v/>
      </c>
      <c r="E50" s="22" t="str">
        <f>IFERROR(VLOOKUP(B50,#REF!,3,0),"")</f>
        <v/>
      </c>
      <c r="F50" s="51"/>
      <c r="G50" s="20"/>
      <c r="H50" s="50"/>
      <c r="I50" s="29"/>
    </row>
    <row r="51" spans="2:9" ht="16.5" customHeight="1" x14ac:dyDescent="0.25">
      <c r="B51" s="569" t="s">
        <v>53</v>
      </c>
      <c r="C51" s="570"/>
      <c r="D51" s="22" t="str">
        <f>IFERROR(VLOOKUP(B51,#REF!,2,0),"")</f>
        <v/>
      </c>
      <c r="E51" s="22" t="str">
        <f>IFERROR(VLOOKUP(B51,#REF!,3,0),"")</f>
        <v/>
      </c>
      <c r="F51" s="51"/>
      <c r="G51" s="20"/>
      <c r="H51" s="50"/>
      <c r="I51" s="29"/>
    </row>
    <row r="52" spans="2:9" ht="4.5" customHeight="1" thickBot="1" x14ac:dyDescent="0.3">
      <c r="B52" s="49"/>
      <c r="C52" s="48"/>
      <c r="D52" s="47"/>
      <c r="E52" s="46"/>
      <c r="F52" s="45"/>
      <c r="G52" s="45"/>
    </row>
    <row r="53" spans="2:9" ht="16.5" customHeight="1" thickBot="1" x14ac:dyDescent="0.35">
      <c r="B53" s="571" t="s">
        <v>3</v>
      </c>
      <c r="C53" s="572"/>
      <c r="D53" s="44" t="s">
        <v>4</v>
      </c>
      <c r="E53" s="43" t="s">
        <v>5</v>
      </c>
      <c r="F53" s="42" t="s">
        <v>6</v>
      </c>
      <c r="G53" s="41" t="s">
        <v>40</v>
      </c>
      <c r="H53" s="40" t="s">
        <v>41</v>
      </c>
      <c r="I53" s="39"/>
    </row>
    <row r="54" spans="2:9" ht="16.5" customHeight="1" x14ac:dyDescent="0.25">
      <c r="B54" s="579" t="s">
        <v>54</v>
      </c>
      <c r="C54" s="580"/>
      <c r="D54" s="38" t="str">
        <f>IFERROR(VLOOKUP(B54,#REF!,2,0),"")</f>
        <v/>
      </c>
      <c r="E54" s="37" t="str">
        <f>IFERROR(VLOOKUP(B54,#REF!,3,0),"")</f>
        <v/>
      </c>
      <c r="F54" s="36" t="str">
        <f>IFERROR(VLOOKUP(B54,#REF!,4,0),"")</f>
        <v/>
      </c>
      <c r="G54" s="35" t="str">
        <f>IFERROR(VLOOKUP(B54,#REF!,5,0),"")</f>
        <v/>
      </c>
      <c r="H54" s="34" t="str">
        <f>IFERROR(VLOOKUP(B54,#REF!,6,0),"")</f>
        <v/>
      </c>
      <c r="I54" s="29"/>
    </row>
    <row r="55" spans="2:9" ht="16.5" customHeight="1" x14ac:dyDescent="0.25">
      <c r="B55" s="569" t="s">
        <v>55</v>
      </c>
      <c r="C55" s="570"/>
      <c r="D55" s="23" t="str">
        <f>IFERROR(VLOOKUP(B55,#REF!,2,0),"")</f>
        <v/>
      </c>
      <c r="E55" s="22" t="str">
        <f>IFERROR(VLOOKUP(B55,#REF!,3,0),"")</f>
        <v/>
      </c>
      <c r="F55" s="21" t="str">
        <f>IFERROR(VLOOKUP(B55,#REF!,4,0),"")</f>
        <v/>
      </c>
      <c r="G55" s="20" t="str">
        <f>IFERROR(VLOOKUP(B55,#REF!,5,0),"")</f>
        <v/>
      </c>
      <c r="H55" s="26" t="str">
        <f>IFERROR(VLOOKUP(B55,#REF!,6,0),"")</f>
        <v/>
      </c>
      <c r="I55" s="29"/>
    </row>
    <row r="56" spans="2:9" ht="16.5" customHeight="1" x14ac:dyDescent="0.25">
      <c r="B56" s="569" t="s">
        <v>56</v>
      </c>
      <c r="C56" s="570"/>
      <c r="D56" s="23" t="str">
        <f>IFERROR(VLOOKUP(B56,#REF!,2,0),"")</f>
        <v/>
      </c>
      <c r="E56" s="22" t="str">
        <f>IFERROR(VLOOKUP(B56,#REF!,3,0),"")</f>
        <v/>
      </c>
      <c r="F56" s="21" t="str">
        <f>IFERROR(VLOOKUP(B56,#REF!,4,0),"")</f>
        <v/>
      </c>
      <c r="G56" s="20" t="str">
        <f>IFERROR(VLOOKUP(B56,#REF!,5,0),"")</f>
        <v/>
      </c>
      <c r="H56" s="26" t="str">
        <f>IFERROR(VLOOKUP(B56,#REF!,6,0),"")</f>
        <v/>
      </c>
      <c r="I56" s="29"/>
    </row>
    <row r="57" spans="2:9" ht="16.5" customHeight="1" x14ac:dyDescent="0.25">
      <c r="B57" s="569" t="s">
        <v>57</v>
      </c>
      <c r="C57" s="570"/>
      <c r="D57" s="23" t="str">
        <f>IFERROR(VLOOKUP(B57,#REF!,2,0),"")</f>
        <v/>
      </c>
      <c r="E57" s="22" t="str">
        <f>IFERROR(VLOOKUP(B57,#REF!,3,0),"")</f>
        <v/>
      </c>
      <c r="F57" s="21" t="str">
        <f>IFERROR(VLOOKUP(B57,#REF!,4,0),"")</f>
        <v/>
      </c>
      <c r="G57" s="20" t="str">
        <f>IFERROR(VLOOKUP(B57,#REF!,5,0),"")</f>
        <v/>
      </c>
      <c r="H57" s="26" t="str">
        <f>IFERROR(VLOOKUP(B57,#REF!,6,0),"")</f>
        <v/>
      </c>
      <c r="I57" s="29"/>
    </row>
    <row r="58" spans="2:9" ht="16.5" customHeight="1" x14ac:dyDescent="0.25">
      <c r="B58" s="569" t="s">
        <v>58</v>
      </c>
      <c r="C58" s="570"/>
      <c r="D58" s="23" t="str">
        <f>IFERROR(VLOOKUP(B58,#REF!,2,0),"")</f>
        <v/>
      </c>
      <c r="E58" s="22" t="str">
        <f>IFERROR(VLOOKUP(B58,#REF!,3,0),"")</f>
        <v/>
      </c>
      <c r="F58" s="21" t="str">
        <f>IFERROR(VLOOKUP(B58,#REF!,4,0),"")</f>
        <v/>
      </c>
      <c r="G58" s="20" t="str">
        <f>IFERROR(VLOOKUP(B58,#REF!,5,0),"")</f>
        <v/>
      </c>
      <c r="H58" s="26" t="str">
        <f>IFERROR(VLOOKUP(B58,#REF!,6,0),"")</f>
        <v/>
      </c>
      <c r="I58" s="29"/>
    </row>
    <row r="59" spans="2:9" ht="16.5" customHeight="1" x14ac:dyDescent="0.25">
      <c r="B59" s="569" t="s">
        <v>59</v>
      </c>
      <c r="C59" s="570"/>
      <c r="D59" s="23" t="str">
        <f>IFERROR(VLOOKUP(B59,#REF!,2,0),"")</f>
        <v/>
      </c>
      <c r="E59" s="22" t="str">
        <f>IFERROR(VLOOKUP(B59,#REF!,3,0),"")</f>
        <v/>
      </c>
      <c r="F59" s="21" t="str">
        <f>IFERROR(VLOOKUP(B59,#REF!,4,0),"")</f>
        <v/>
      </c>
      <c r="G59" s="20" t="str">
        <f>IFERROR(VLOOKUP(B59,#REF!,5,0),"")</f>
        <v/>
      </c>
      <c r="H59" s="26" t="str">
        <f>IFERROR(VLOOKUP(B59,#REF!,6,0),"")</f>
        <v/>
      </c>
      <c r="I59" s="29"/>
    </row>
    <row r="60" spans="2:9" ht="16.5" customHeight="1" x14ac:dyDescent="0.25">
      <c r="B60" s="569" t="s">
        <v>60</v>
      </c>
      <c r="C60" s="570"/>
      <c r="D60" s="23" t="str">
        <f>IFERROR(VLOOKUP(B60,#REF!,2,0),"")</f>
        <v/>
      </c>
      <c r="E60" s="22" t="str">
        <f>IFERROR(VLOOKUP(B60,#REF!,3,0),"")</f>
        <v/>
      </c>
      <c r="F60" s="21" t="str">
        <f>IFERROR(VLOOKUP(B60,#REF!,4,0),"")</f>
        <v/>
      </c>
      <c r="G60" s="20" t="str">
        <f>IFERROR(VLOOKUP(B60,#REF!,5,0),"")</f>
        <v/>
      </c>
      <c r="H60" s="26" t="str">
        <f>IFERROR(VLOOKUP(B60,#REF!,6,0),"")</f>
        <v/>
      </c>
      <c r="I60" s="29"/>
    </row>
    <row r="61" spans="2:9" ht="16.5" customHeight="1" x14ac:dyDescent="0.25">
      <c r="B61" s="569" t="s">
        <v>61</v>
      </c>
      <c r="C61" s="570"/>
      <c r="D61" s="23" t="str">
        <f>IFERROR(VLOOKUP(B61,#REF!,2,0),"")</f>
        <v/>
      </c>
      <c r="E61" s="22" t="str">
        <f>IFERROR(VLOOKUP(B61,#REF!,3,0),"")</f>
        <v/>
      </c>
      <c r="F61" s="21" t="str">
        <f>IFERROR(VLOOKUP(B61,#REF!,4,0),"")</f>
        <v/>
      </c>
      <c r="G61" s="20" t="str">
        <f>IFERROR(VLOOKUP(B61,#REF!,5,0),"")</f>
        <v/>
      </c>
      <c r="H61" s="26" t="str">
        <f>IFERROR(VLOOKUP(B61,#REF!,6,0),"")</f>
        <v/>
      </c>
      <c r="I61" s="29"/>
    </row>
    <row r="62" spans="2:9" ht="16.5" customHeight="1" x14ac:dyDescent="0.25">
      <c r="B62" s="569" t="s">
        <v>62</v>
      </c>
      <c r="C62" s="570"/>
      <c r="D62" s="23" t="str">
        <f>IFERROR(VLOOKUP(B62,#REF!,2,0),"")</f>
        <v/>
      </c>
      <c r="E62" s="22" t="str">
        <f>IFERROR(VLOOKUP(B62,#REF!,3,0),"")</f>
        <v/>
      </c>
      <c r="F62" s="21" t="str">
        <f>IFERROR(VLOOKUP(B62,#REF!,4,0),"")</f>
        <v/>
      </c>
      <c r="G62" s="20" t="str">
        <f>IFERROR(VLOOKUP(B62,#REF!,5,0),"")</f>
        <v/>
      </c>
      <c r="H62" s="26" t="str">
        <f>IFERROR(VLOOKUP(B62,#REF!,6,0),"")</f>
        <v/>
      </c>
      <c r="I62" s="29"/>
    </row>
    <row r="63" spans="2:9" ht="16.5" customHeight="1" x14ac:dyDescent="0.25">
      <c r="B63" s="569" t="s">
        <v>63</v>
      </c>
      <c r="C63" s="570"/>
      <c r="D63" s="23" t="str">
        <f>IFERROR(VLOOKUP(B63,#REF!,2,0),"")</f>
        <v/>
      </c>
      <c r="E63" s="22" t="str">
        <f>IFERROR(VLOOKUP(B63,#REF!,3,0),"")</f>
        <v/>
      </c>
      <c r="F63" s="21" t="str">
        <f>IFERROR(VLOOKUP(B63,#REF!,4,0),"")</f>
        <v/>
      </c>
      <c r="G63" s="20" t="str">
        <f>IFERROR(VLOOKUP(B63,#REF!,5,0),"")</f>
        <v/>
      </c>
      <c r="H63" s="26" t="str">
        <f>IFERROR(VLOOKUP(B63,#REF!,6,0),"")</f>
        <v/>
      </c>
      <c r="I63" s="29"/>
    </row>
    <row r="64" spans="2:9" ht="16.5" customHeight="1" x14ac:dyDescent="0.25">
      <c r="B64" s="569" t="s">
        <v>64</v>
      </c>
      <c r="C64" s="570"/>
      <c r="D64" s="23" t="str">
        <f>IFERROR(VLOOKUP(B64,#REF!,2,0),"")</f>
        <v/>
      </c>
      <c r="E64" s="22" t="str">
        <f>IFERROR(VLOOKUP(B64,#REF!,3,0),"")</f>
        <v/>
      </c>
      <c r="F64" s="21" t="str">
        <f>IFERROR(VLOOKUP(B64,#REF!,4,0),"")</f>
        <v/>
      </c>
      <c r="G64" s="20" t="str">
        <f>IFERROR(VLOOKUP(B64,#REF!,5,0),"")</f>
        <v/>
      </c>
      <c r="H64" s="26" t="str">
        <f>IFERROR(VLOOKUP(B64,#REF!,6,0),"")</f>
        <v/>
      </c>
      <c r="I64" s="29"/>
    </row>
    <row r="65" spans="2:9" ht="16.5" customHeight="1" x14ac:dyDescent="0.25">
      <c r="B65" s="569" t="s">
        <v>65</v>
      </c>
      <c r="C65" s="570"/>
      <c r="D65" s="23"/>
      <c r="E65" s="22"/>
      <c r="F65" s="21"/>
      <c r="G65" s="20"/>
      <c r="H65" s="26"/>
      <c r="I65" s="29"/>
    </row>
    <row r="66" spans="2:9" ht="16.5" customHeight="1" x14ac:dyDescent="0.25">
      <c r="B66" s="569" t="s">
        <v>66</v>
      </c>
      <c r="C66" s="570"/>
      <c r="D66" s="23"/>
      <c r="E66" s="22"/>
      <c r="F66" s="21"/>
      <c r="G66" s="20"/>
      <c r="H66" s="26"/>
      <c r="I66" s="29"/>
    </row>
    <row r="67" spans="2:9" ht="16.5" customHeight="1" x14ac:dyDescent="0.25">
      <c r="B67" s="569" t="s">
        <v>67</v>
      </c>
      <c r="C67" s="570"/>
      <c r="D67" s="23"/>
      <c r="E67" s="22"/>
      <c r="F67" s="21"/>
      <c r="G67" s="20"/>
      <c r="H67" s="26"/>
      <c r="I67" s="29"/>
    </row>
    <row r="68" spans="2:9" ht="16.5" customHeight="1" x14ac:dyDescent="0.25">
      <c r="B68" s="569" t="s">
        <v>68</v>
      </c>
      <c r="C68" s="570"/>
      <c r="D68" s="23"/>
      <c r="E68" s="22"/>
      <c r="F68" s="21"/>
      <c r="G68" s="20"/>
      <c r="H68" s="26"/>
      <c r="I68" s="29"/>
    </row>
    <row r="69" spans="2:9" ht="16.5" customHeight="1" x14ac:dyDescent="0.25">
      <c r="B69" s="569" t="s">
        <v>69</v>
      </c>
      <c r="C69" s="570"/>
      <c r="D69" s="23"/>
      <c r="E69" s="22"/>
      <c r="F69" s="21"/>
      <c r="G69" s="20"/>
      <c r="H69" s="26"/>
      <c r="I69" s="29"/>
    </row>
    <row r="70" spans="2:9" ht="16.5" customHeight="1" x14ac:dyDescent="0.25">
      <c r="B70" s="569" t="s">
        <v>70</v>
      </c>
      <c r="C70" s="570"/>
      <c r="D70" s="23"/>
      <c r="E70" s="22"/>
      <c r="F70" s="21"/>
      <c r="G70" s="20"/>
      <c r="H70" s="26"/>
      <c r="I70" s="29"/>
    </row>
    <row r="71" spans="2:9" ht="16.5" customHeight="1" x14ac:dyDescent="0.25">
      <c r="B71" s="569" t="s">
        <v>71</v>
      </c>
      <c r="C71" s="570"/>
      <c r="D71" s="23"/>
      <c r="E71" s="22"/>
      <c r="F71" s="21"/>
      <c r="G71" s="20"/>
      <c r="H71" s="26"/>
      <c r="I71" s="29"/>
    </row>
    <row r="72" spans="2:9" ht="16.5" customHeight="1" x14ac:dyDescent="0.25">
      <c r="B72" s="569" t="s">
        <v>72</v>
      </c>
      <c r="C72" s="570"/>
      <c r="D72" s="23"/>
      <c r="E72" s="22"/>
      <c r="F72" s="21"/>
      <c r="G72" s="20"/>
      <c r="H72" s="26"/>
      <c r="I72" s="29"/>
    </row>
    <row r="73" spans="2:9" ht="16.5" customHeight="1" x14ac:dyDescent="0.25">
      <c r="B73" s="569" t="s">
        <v>73</v>
      </c>
      <c r="C73" s="570"/>
      <c r="D73" s="23"/>
      <c r="E73" s="22"/>
      <c r="F73" s="21"/>
      <c r="G73" s="20"/>
      <c r="H73" s="26"/>
      <c r="I73" s="29"/>
    </row>
    <row r="74" spans="2:9" ht="16.5" customHeight="1" x14ac:dyDescent="0.25">
      <c r="B74" s="569" t="s">
        <v>74</v>
      </c>
      <c r="C74" s="570"/>
      <c r="D74" s="23"/>
      <c r="E74" s="22"/>
      <c r="F74" s="21"/>
      <c r="G74" s="20"/>
      <c r="H74" s="26"/>
      <c r="I74" s="29"/>
    </row>
    <row r="75" spans="2:9" ht="16.5" customHeight="1" x14ac:dyDescent="0.25">
      <c r="B75" s="569" t="s">
        <v>75</v>
      </c>
      <c r="C75" s="570"/>
      <c r="D75" s="23"/>
      <c r="E75" s="22"/>
      <c r="F75" s="21"/>
      <c r="G75" s="20"/>
      <c r="H75" s="26"/>
      <c r="I75" s="29"/>
    </row>
    <row r="76" spans="2:9" ht="16.5" customHeight="1" x14ac:dyDescent="0.25">
      <c r="B76" s="598" t="s">
        <v>76</v>
      </c>
      <c r="C76" s="599"/>
      <c r="D76" s="23"/>
      <c r="E76" s="22"/>
      <c r="F76" s="21"/>
      <c r="G76" s="20"/>
      <c r="H76" s="26"/>
      <c r="I76" s="29"/>
    </row>
    <row r="77" spans="2:9" ht="16.5" customHeight="1" x14ac:dyDescent="0.25">
      <c r="B77" s="598" t="s">
        <v>77</v>
      </c>
      <c r="C77" s="599"/>
      <c r="D77" s="23"/>
      <c r="E77" s="22"/>
      <c r="F77" s="21"/>
      <c r="G77" s="20"/>
      <c r="H77" s="26"/>
      <c r="I77" s="29"/>
    </row>
    <row r="78" spans="2:9" ht="16.5" customHeight="1" x14ac:dyDescent="0.25">
      <c r="B78" s="598" t="s">
        <v>78</v>
      </c>
      <c r="C78" s="599"/>
      <c r="D78" s="23"/>
      <c r="E78" s="22"/>
      <c r="F78" s="21"/>
      <c r="G78" s="20"/>
      <c r="H78" s="26"/>
      <c r="I78" s="29"/>
    </row>
    <row r="79" spans="2:9" ht="16.5" customHeight="1" x14ac:dyDescent="0.25">
      <c r="B79" s="569" t="s">
        <v>79</v>
      </c>
      <c r="C79" s="570"/>
      <c r="D79" s="23" t="str">
        <f>IFERROR(VLOOKUP(B79,#REF!,2,0),"")</f>
        <v/>
      </c>
      <c r="E79" s="22" t="str">
        <f>IFERROR(VLOOKUP(B79,#REF!,3,0),"")</f>
        <v/>
      </c>
      <c r="F79" s="21" t="str">
        <f>IFERROR(VLOOKUP(B79,#REF!,4,0),"")</f>
        <v/>
      </c>
      <c r="G79" s="20" t="str">
        <f>IFERROR(VLOOKUP(B79,#REF!,5,0),"")</f>
        <v/>
      </c>
      <c r="H79" s="26" t="str">
        <f>IFERROR(VLOOKUP(B79,#REF!,6,0),"")</f>
        <v/>
      </c>
      <c r="I79" s="29"/>
    </row>
    <row r="80" spans="2:9" ht="16.5" customHeight="1" x14ac:dyDescent="0.25">
      <c r="B80" s="569" t="s">
        <v>80</v>
      </c>
      <c r="C80" s="570"/>
      <c r="D80" s="23" t="str">
        <f>IFERROR(VLOOKUP(B80,#REF!,2,0),"")</f>
        <v/>
      </c>
      <c r="E80" s="22" t="str">
        <f>IFERROR(VLOOKUP(B80,#REF!,3,0),"")</f>
        <v/>
      </c>
      <c r="F80" s="21" t="str">
        <f>IFERROR(VLOOKUP(B80,#REF!,4,0),"")</f>
        <v/>
      </c>
      <c r="G80" s="20" t="str">
        <f>IFERROR(VLOOKUP(B80,#REF!,5,0),"")</f>
        <v/>
      </c>
      <c r="H80" s="26" t="str">
        <f>IFERROR(VLOOKUP(B80,#REF!,6,0),"")</f>
        <v/>
      </c>
      <c r="I80" s="29"/>
    </row>
    <row r="81" spans="2:9" ht="16.5" customHeight="1" x14ac:dyDescent="0.25">
      <c r="B81" s="569" t="s">
        <v>81</v>
      </c>
      <c r="C81" s="570"/>
      <c r="D81" s="23" t="str">
        <f>IFERROR(VLOOKUP(B81,#REF!,2,0),"")</f>
        <v/>
      </c>
      <c r="E81" s="22" t="str">
        <f>IFERROR(VLOOKUP(B81,#REF!,3,0),"")</f>
        <v/>
      </c>
      <c r="F81" s="21" t="str">
        <f>IFERROR(VLOOKUP(B81,#REF!,4,0),"")</f>
        <v/>
      </c>
      <c r="G81" s="20" t="str">
        <f>IFERROR(VLOOKUP(B81,#REF!,5,0),"")</f>
        <v/>
      </c>
      <c r="H81" s="26" t="str">
        <f>IFERROR(VLOOKUP(B81,#REF!,6,0),"")</f>
        <v/>
      </c>
      <c r="I81" s="29"/>
    </row>
    <row r="82" spans="2:9" ht="16.5" customHeight="1" x14ac:dyDescent="0.25">
      <c r="B82" s="569" t="s">
        <v>82</v>
      </c>
      <c r="C82" s="570"/>
      <c r="D82" s="23" t="str">
        <f>IFERROR(VLOOKUP(B82,#REF!,2,0),"")</f>
        <v/>
      </c>
      <c r="E82" s="22" t="str">
        <f>IFERROR(VLOOKUP(B82,#REF!,3,0),"")</f>
        <v/>
      </c>
      <c r="F82" s="21" t="str">
        <f>IFERROR(VLOOKUP(B82,#REF!,4,0),"")</f>
        <v/>
      </c>
      <c r="G82" s="20" t="str">
        <f>IFERROR(VLOOKUP(B82,#REF!,5,0),"")</f>
        <v/>
      </c>
      <c r="H82" s="26" t="str">
        <f>IFERROR(VLOOKUP(B82,#REF!,6,0),"")</f>
        <v/>
      </c>
      <c r="I82" s="29"/>
    </row>
    <row r="83" spans="2:9" ht="16.5" customHeight="1" x14ac:dyDescent="0.25">
      <c r="B83" s="569" t="s">
        <v>83</v>
      </c>
      <c r="C83" s="570"/>
      <c r="D83" s="23" t="str">
        <f>IFERROR(VLOOKUP(B83,#REF!,2,0),"")</f>
        <v/>
      </c>
      <c r="E83" s="22" t="str">
        <f>IFERROR(VLOOKUP(B83,#REF!,3,0),"")</f>
        <v/>
      </c>
      <c r="F83" s="21" t="str">
        <f>IFERROR(VLOOKUP(B83,#REF!,4,0),"")</f>
        <v/>
      </c>
      <c r="G83" s="20" t="str">
        <f>IFERROR(VLOOKUP(B83,#REF!,5,0),"")</f>
        <v/>
      </c>
      <c r="H83" s="26" t="str">
        <f>IFERROR(VLOOKUP(B83,#REF!,6,0),"")</f>
        <v/>
      </c>
      <c r="I83" s="29"/>
    </row>
    <row r="84" spans="2:9" ht="16.5" customHeight="1" thickBot="1" x14ac:dyDescent="0.3">
      <c r="B84" s="596" t="s">
        <v>84</v>
      </c>
      <c r="C84" s="597"/>
      <c r="D84" s="16" t="str">
        <f>IFERROR(VLOOKUP(B84,#REF!,2,0),"")</f>
        <v/>
      </c>
      <c r="E84" s="15" t="str">
        <f>IFERROR(VLOOKUP(B84,#REF!,3,0),"")</f>
        <v/>
      </c>
      <c r="F84" s="14" t="str">
        <f>IFERROR(VLOOKUP(B84,#REF!,4,0),"")</f>
        <v/>
      </c>
      <c r="G84" s="13" t="str">
        <f>IFERROR(VLOOKUP(B84,#REF!,5,0),"")</f>
        <v/>
      </c>
      <c r="H84" s="19" t="str">
        <f>IFERROR(VLOOKUP(B84,#REF!,6,0),"")</f>
        <v/>
      </c>
      <c r="I84" s="29"/>
    </row>
    <row r="85" spans="2:9" ht="4.5" customHeight="1" x14ac:dyDescent="0.25">
      <c r="B85" s="33"/>
      <c r="C85" s="32"/>
      <c r="D85" s="31"/>
      <c r="E85" s="30"/>
      <c r="F85" s="29"/>
      <c r="G85" s="29"/>
    </row>
    <row r="86" spans="2:9" ht="45" customHeight="1" x14ac:dyDescent="0.3">
      <c r="B86" s="1"/>
      <c r="C86" s="1"/>
      <c r="D86" s="1"/>
      <c r="E86" s="1"/>
      <c r="F86" s="1"/>
      <c r="G86" s="1"/>
      <c r="H86" s="28" t="s">
        <v>85</v>
      </c>
    </row>
    <row r="87" spans="2:9" ht="45" customHeight="1" x14ac:dyDescent="0.25">
      <c r="B87" s="25" t="s">
        <v>86</v>
      </c>
      <c r="C87" s="24" t="str">
        <f>IFERROR(VLOOKUP(B87,#REF!,5,0),"")</f>
        <v/>
      </c>
      <c r="D87" s="23" t="str">
        <f>IFERROR(VLOOKUP(B87,#REF!,2,0),"")</f>
        <v/>
      </c>
      <c r="E87" s="22" t="str">
        <f>IFERROR(VLOOKUP(B87,#REF!,3,0),"")</f>
        <v/>
      </c>
      <c r="F87" s="21" t="str">
        <f>IFERROR(VLOOKUP(B87,#REF!,4,0),"")</f>
        <v/>
      </c>
      <c r="G87" s="27" t="s">
        <v>87</v>
      </c>
      <c r="H87" s="26" t="s">
        <v>88</v>
      </c>
    </row>
    <row r="88" spans="2:9" ht="45" customHeight="1" x14ac:dyDescent="0.25">
      <c r="B88" s="25" t="s">
        <v>89</v>
      </c>
      <c r="C88" s="24" t="str">
        <f>IFERROR(VLOOKUP(B88,#REF!,5,0),"")</f>
        <v/>
      </c>
      <c r="D88" s="23" t="str">
        <f>IFERROR(VLOOKUP(B88,#REF!,2,0),"")</f>
        <v/>
      </c>
      <c r="E88" s="22" t="str">
        <f>IFERROR(VLOOKUP(B88,#REF!,3,0),"")</f>
        <v/>
      </c>
      <c r="F88" s="21" t="str">
        <f>IFERROR(VLOOKUP(B88,#REF!,4,0),"")</f>
        <v/>
      </c>
      <c r="G88" s="20" t="s">
        <v>87</v>
      </c>
      <c r="H88" s="26" t="s">
        <v>90</v>
      </c>
    </row>
    <row r="89" spans="2:9" ht="45" customHeight="1" x14ac:dyDescent="0.25">
      <c r="B89" s="25" t="s">
        <v>91</v>
      </c>
      <c r="C89" s="24" t="str">
        <f>IFERROR(VLOOKUP(B89,#REF!,5,0),"")</f>
        <v/>
      </c>
      <c r="D89" s="23" t="str">
        <f>IFERROR(VLOOKUP(B89,#REF!,2,0),"")</f>
        <v/>
      </c>
      <c r="E89" s="22" t="str">
        <f>IFERROR(VLOOKUP(B89,#REF!,3,0),"")</f>
        <v/>
      </c>
      <c r="F89" s="21" t="str">
        <f>IFERROR(VLOOKUP(B89,#REF!,4,0),"")</f>
        <v/>
      </c>
      <c r="G89" s="20" t="s">
        <v>87</v>
      </c>
      <c r="H89" s="26" t="s">
        <v>87</v>
      </c>
    </row>
    <row r="90" spans="2:9" ht="45" customHeight="1" x14ac:dyDescent="0.25">
      <c r="B90" s="25" t="s">
        <v>92</v>
      </c>
      <c r="C90" s="24" t="str">
        <f>IFERROR(VLOOKUP(B90,#REF!,5,0),"")</f>
        <v/>
      </c>
      <c r="D90" s="23" t="str">
        <f>IFERROR(VLOOKUP(B90,#REF!,2,0),"")</f>
        <v/>
      </c>
      <c r="E90" s="22" t="str">
        <f>IFERROR(VLOOKUP(B90,#REF!,3,0),"")</f>
        <v/>
      </c>
      <c r="F90" s="21" t="str">
        <f>IFERROR(VLOOKUP(B90,#REF!,4,0),"")</f>
        <v/>
      </c>
      <c r="G90" s="20" t="s">
        <v>93</v>
      </c>
      <c r="H90" s="26" t="s">
        <v>93</v>
      </c>
    </row>
    <row r="91" spans="2:9" ht="45" customHeight="1" thickBot="1" x14ac:dyDescent="0.3">
      <c r="B91" s="25" t="s">
        <v>94</v>
      </c>
      <c r="C91" s="24" t="str">
        <f>IFERROR(VLOOKUP(B91,#REF!,5,0),"")</f>
        <v/>
      </c>
      <c r="D91" s="23" t="str">
        <f>IFERROR(VLOOKUP(B91,#REF!,2,0),"")</f>
        <v/>
      </c>
      <c r="E91" s="22" t="str">
        <f>IFERROR(VLOOKUP(B91,#REF!,3,0),"")</f>
        <v/>
      </c>
      <c r="F91" s="21" t="str">
        <f>IFERROR(VLOOKUP(B91,#REF!,4,0),"")</f>
        <v/>
      </c>
      <c r="G91" s="20" t="s">
        <v>93</v>
      </c>
      <c r="H91" s="19" t="s">
        <v>95</v>
      </c>
    </row>
    <row r="92" spans="2:9" ht="45" customHeight="1" thickBot="1" x14ac:dyDescent="0.3">
      <c r="B92" s="18" t="s">
        <v>96</v>
      </c>
      <c r="C92" s="17" t="str">
        <f>IFERROR(VLOOKUP(B92,#REF!,5,0),"")</f>
        <v/>
      </c>
      <c r="D92" s="16" t="str">
        <f>IFERROR(VLOOKUP(B92,#REF!,2,0),"")</f>
        <v/>
      </c>
      <c r="E92" s="15" t="str">
        <f>IFERROR(VLOOKUP(B92,#REF!,3,0),"")</f>
        <v/>
      </c>
      <c r="F92" s="14" t="str">
        <f>IFERROR(VLOOKUP(B92,#REF!,4,0),"")</f>
        <v/>
      </c>
      <c r="G92" s="13" t="s">
        <v>87</v>
      </c>
    </row>
    <row r="93" spans="2:9" ht="3" customHeight="1" x14ac:dyDescent="0.25"/>
    <row r="94" spans="2:9" ht="16.5" customHeight="1" x14ac:dyDescent="0.25"/>
    <row r="95" spans="2:9" ht="16.5" customHeight="1" x14ac:dyDescent="0.25"/>
    <row r="96" spans="2:9" ht="16.5" customHeight="1" x14ac:dyDescent="0.25"/>
    <row r="97" spans="15:15" ht="16.5" customHeight="1" x14ac:dyDescent="0.25"/>
    <row r="98" spans="15:15" ht="16.5" customHeight="1" x14ac:dyDescent="0.25"/>
    <row r="99" spans="15:15" ht="16.5" customHeight="1" x14ac:dyDescent="0.25"/>
    <row r="100" spans="15:15" ht="16.5" customHeight="1" x14ac:dyDescent="0.25"/>
    <row r="101" spans="15:15" ht="16.5" customHeight="1" x14ac:dyDescent="0.25">
      <c r="O101" s="3"/>
    </row>
    <row r="102" spans="15:15" ht="16.5" customHeight="1" x14ac:dyDescent="0.25">
      <c r="O102" s="3"/>
    </row>
    <row r="103" spans="15:15" ht="16.5" customHeight="1" x14ac:dyDescent="0.25"/>
    <row r="104" spans="15:15" ht="16.5" customHeight="1" x14ac:dyDescent="0.25"/>
    <row r="105" spans="15:15" ht="16.5" customHeight="1" x14ac:dyDescent="0.25"/>
    <row r="106" spans="15:15" ht="16.5" customHeight="1" x14ac:dyDescent="0.25"/>
    <row r="107" spans="15:15" ht="16.5" customHeight="1" x14ac:dyDescent="0.25"/>
    <row r="108" spans="15:15" ht="3" customHeight="1" x14ac:dyDescent="0.25"/>
    <row r="109" spans="15:15" ht="18.75" customHeight="1" x14ac:dyDescent="0.25"/>
    <row r="110" spans="15:15" ht="16.5" customHeight="1" x14ac:dyDescent="0.25"/>
    <row r="111" spans="15:15" ht="8.25" customHeight="1" x14ac:dyDescent="0.25"/>
    <row r="112" spans="15:15" ht="16.5" customHeight="1" x14ac:dyDescent="0.25"/>
    <row r="113" spans="1:9" ht="16.5" customHeight="1" x14ac:dyDescent="0.25"/>
    <row r="114" spans="1:9" ht="16.5" customHeight="1" x14ac:dyDescent="0.25"/>
    <row r="115" spans="1:9" ht="18" customHeight="1" x14ac:dyDescent="0.25"/>
    <row r="116" spans="1:9" ht="3" customHeight="1" x14ac:dyDescent="0.25"/>
    <row r="117" spans="1:9" ht="16.5" customHeight="1" x14ac:dyDescent="0.25"/>
    <row r="118" spans="1:9" ht="16.5" customHeight="1" x14ac:dyDescent="0.25"/>
    <row r="119" spans="1:9" ht="3" customHeight="1" x14ac:dyDescent="0.25"/>
    <row r="120" spans="1:9" ht="16.5" customHeight="1" x14ac:dyDescent="0.25"/>
    <row r="121" spans="1:9" ht="3" customHeight="1" x14ac:dyDescent="0.25"/>
    <row r="122" spans="1:9" ht="16.5" customHeight="1" x14ac:dyDescent="0.25"/>
    <row r="123" spans="1:9" s="12" customFormat="1" ht="3" customHeight="1" x14ac:dyDescent="0.25">
      <c r="A123"/>
      <c r="B123"/>
      <c r="C123"/>
      <c r="D123"/>
      <c r="E123"/>
      <c r="F123" s="11"/>
      <c r="G123" s="11"/>
      <c r="H123"/>
      <c r="I123"/>
    </row>
    <row r="124" spans="1:9" ht="16.5" customHeight="1" x14ac:dyDescent="0.25">
      <c r="A124" s="12"/>
    </row>
    <row r="125" spans="1:9" s="12" customFormat="1" ht="3" customHeight="1" x14ac:dyDescent="0.25">
      <c r="A125"/>
      <c r="B125"/>
      <c r="C125"/>
      <c r="D125"/>
      <c r="E125"/>
      <c r="F125" s="11"/>
      <c r="G125" s="11"/>
      <c r="H125"/>
      <c r="I125"/>
    </row>
    <row r="126" spans="1:9" ht="16.5" customHeight="1" x14ac:dyDescent="0.25">
      <c r="A126" s="12"/>
    </row>
    <row r="127" spans="1:9" ht="16.5" customHeight="1" x14ac:dyDescent="0.25"/>
    <row r="128" spans="1:9" ht="19.5" customHeight="1" x14ac:dyDescent="0.25"/>
  </sheetData>
  <sheetProtection formatCells="0" formatRows="0" insertColumns="0" insertRows="0" deleteRows="0" sort="0" autoFilter="0" pivotTables="0"/>
  <protectedRanges>
    <protectedRange sqref="B47:B84 G21:I30 G33:I43 B21:C30 B33:B44 F44:G44 C33:C43 C47:C51 C53:C84 G2:I18 B2:C18" name="Plage1"/>
    <protectedRange sqref="G87:G92 B87:C92 H86:H91" name="Plage1_1"/>
  </protectedRanges>
  <mergeCells count="77">
    <mergeCell ref="B54:C54"/>
    <mergeCell ref="B62:C62"/>
    <mergeCell ref="B74:C74"/>
    <mergeCell ref="B75:C75"/>
    <mergeCell ref="B66:C66"/>
    <mergeCell ref="B65:C65"/>
    <mergeCell ref="B56:C56"/>
    <mergeCell ref="B57:C57"/>
    <mergeCell ref="B58:C58"/>
    <mergeCell ref="B59:C59"/>
    <mergeCell ref="B60:C60"/>
    <mergeCell ref="B72:C72"/>
    <mergeCell ref="B82:C82"/>
    <mergeCell ref="B67:C67"/>
    <mergeCell ref="B68:C68"/>
    <mergeCell ref="B69:C69"/>
    <mergeCell ref="B70:C70"/>
    <mergeCell ref="B81:C81"/>
    <mergeCell ref="B73:C73"/>
    <mergeCell ref="B8:C8"/>
    <mergeCell ref="B83:C83"/>
    <mergeCell ref="B84:C84"/>
    <mergeCell ref="B45:H45"/>
    <mergeCell ref="B76:C76"/>
    <mergeCell ref="B77:C77"/>
    <mergeCell ref="B78:C78"/>
    <mergeCell ref="B79:C79"/>
    <mergeCell ref="B63:C63"/>
    <mergeCell ref="B64:C64"/>
    <mergeCell ref="B32:H32"/>
    <mergeCell ref="B61:C61"/>
    <mergeCell ref="B21:C21"/>
    <mergeCell ref="B55:C55"/>
    <mergeCell ref="B80:C80"/>
    <mergeCell ref="B71:C71"/>
    <mergeCell ref="J1:M1"/>
    <mergeCell ref="B20:H20"/>
    <mergeCell ref="B15:C15"/>
    <mergeCell ref="B16:C16"/>
    <mergeCell ref="B17:C17"/>
    <mergeCell ref="B18:C18"/>
    <mergeCell ref="B1:H1"/>
    <mergeCell ref="B2:C2"/>
    <mergeCell ref="B4:C4"/>
    <mergeCell ref="B5:C5"/>
    <mergeCell ref="B11:C11"/>
    <mergeCell ref="B12:C12"/>
    <mergeCell ref="B13:C13"/>
    <mergeCell ref="B14:C14"/>
    <mergeCell ref="B6:C6"/>
    <mergeCell ref="B7:C7"/>
    <mergeCell ref="B23:C23"/>
    <mergeCell ref="B50:C50"/>
    <mergeCell ref="B41:C41"/>
    <mergeCell ref="B42:C42"/>
    <mergeCell ref="B9:C9"/>
    <mergeCell ref="B10:C10"/>
    <mergeCell ref="B33:C33"/>
    <mergeCell ref="B35:C35"/>
    <mergeCell ref="B36:C36"/>
    <mergeCell ref="B29:C29"/>
    <mergeCell ref="B30:C30"/>
    <mergeCell ref="B28:C28"/>
    <mergeCell ref="B24:C24"/>
    <mergeCell ref="B25:C25"/>
    <mergeCell ref="B26:C26"/>
    <mergeCell ref="B27:C27"/>
    <mergeCell ref="B51:C51"/>
    <mergeCell ref="B53:C53"/>
    <mergeCell ref="B40:C40"/>
    <mergeCell ref="B43:C43"/>
    <mergeCell ref="B37:C37"/>
    <mergeCell ref="B38:C38"/>
    <mergeCell ref="B39:C39"/>
    <mergeCell ref="B47:C47"/>
    <mergeCell ref="B48:C48"/>
    <mergeCell ref="B49:C49"/>
  </mergeCells>
  <conditionalFormatting sqref="C87:C92">
    <cfRule type="cellIs" dxfId="367" priority="1" operator="equal">
      <formula>0</formula>
    </cfRule>
  </conditionalFormatting>
  <dataValidations count="7">
    <dataValidation type="list" allowBlank="1" showInputMessage="1" showErrorMessage="1" sqref="B52 B35:B36" xr:uid="{00000000-0002-0000-0200-000000000000}">
      <formula1>atomiseurindica1</formula1>
    </dataValidation>
    <dataValidation type="list" allowBlank="1" showInputMessage="1" showErrorMessage="1" sqref="B23" xr:uid="{00000000-0002-0000-0200-000001000000}">
      <formula1>piluleindica1</formula1>
    </dataValidation>
    <dataValidation type="list" allowBlank="1" showInputMessage="1" showErrorMessage="1" sqref="B24:B30" xr:uid="{00000000-0002-0000-0200-000008000000}">
      <formula1>pilulehybride1</formula1>
    </dataValidation>
    <dataValidation type="list" allowBlank="1" showInputMessage="1" showErrorMessage="1" sqref="B4:B6" xr:uid="{00000000-0002-0000-0200-000004000000}">
      <formula1>huileindica1</formula1>
    </dataValidation>
    <dataValidation type="list" allowBlank="1" showInputMessage="1" showErrorMessage="1" sqref="B39:B44" xr:uid="{00000000-0002-0000-0200-000006000000}">
      <formula1>atomiseurhybride1</formula1>
    </dataValidation>
    <dataValidation type="list" allowBlank="1" showInputMessage="1" showErrorMessage="1" sqref="B37:B38 B48:B51 B87:B92 B54:B85" xr:uid="{00000000-0002-0000-0200-00000A000000}">
      <formula1>#REF!</formula1>
    </dataValidation>
    <dataValidation type="list" allowBlank="1" showInputMessage="1" showErrorMessage="1" sqref="B7:B18" xr:uid="{00000000-0002-0000-0200-000007000000}">
      <formula1>huilehybride1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paperSize="5" scale="46" fitToHeight="0" orientation="portrait" r:id="rId1"/>
  <rowBreaks count="1" manualBreakCount="1">
    <brk id="4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outon 2">
              <controlPr defaultSize="0" print="0" autoFill="0" autoPict="0" macro="[0]!InsertRowFormulas" altText="Ajouter ligne">
                <anchor moveWithCells="1">
                  <from>
                    <xdr:col>5</xdr:col>
                    <xdr:colOff>714375</xdr:colOff>
                    <xdr:row>0</xdr:row>
                    <xdr:rowOff>38100</xdr:rowOff>
                  </from>
                  <to>
                    <xdr:col>6</xdr:col>
                    <xdr:colOff>895350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outon 5">
              <controlPr defaultSize="0" print="0" autoFill="0" autoPict="0" macro="[0]!InsertRowFormulas" altText="Ajouter ligne">
                <anchor moveWithCells="1">
                  <from>
                    <xdr:col>11</xdr:col>
                    <xdr:colOff>57150</xdr:colOff>
                    <xdr:row>87</xdr:row>
                    <xdr:rowOff>0</xdr:rowOff>
                  </from>
                  <to>
                    <xdr:col>12</xdr:col>
                    <xdr:colOff>638175</xdr:colOff>
                    <xdr:row>87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outon 6">
              <controlPr defaultSize="0" print="0" autoFill="0" autoPict="0" macro="[0]!InsertRowFormulas" altText="Ajouter ligne">
                <anchor moveWithCells="1">
                  <from>
                    <xdr:col>16</xdr:col>
                    <xdr:colOff>590550</xdr:colOff>
                    <xdr:row>18</xdr:row>
                    <xdr:rowOff>0</xdr:rowOff>
                  </from>
                  <to>
                    <xdr:col>18</xdr:col>
                    <xdr:colOff>419100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sertRowFormulas" altText="Ajouter ligne">
                <anchor moveWithCells="1">
                  <from>
                    <xdr:col>5</xdr:col>
                    <xdr:colOff>685800</xdr:colOff>
                    <xdr:row>31</xdr:row>
                    <xdr:rowOff>19050</xdr:rowOff>
                  </from>
                  <to>
                    <xdr:col>6</xdr:col>
                    <xdr:colOff>866775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InsertRowFormulas" altText="Ajouter ligne">
                <anchor moveWithCells="1">
                  <from>
                    <xdr:col>5</xdr:col>
                    <xdr:colOff>752475</xdr:colOff>
                    <xdr:row>19</xdr:row>
                    <xdr:rowOff>19050</xdr:rowOff>
                  </from>
                  <to>
                    <xdr:col>6</xdr:col>
                    <xdr:colOff>933450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InsertRowFormulas" altText="Ajouter ligne">
                <anchor moveWithCells="1">
                  <from>
                    <xdr:col>16</xdr:col>
                    <xdr:colOff>590550</xdr:colOff>
                    <xdr:row>18</xdr:row>
                    <xdr:rowOff>0</xdr:rowOff>
                  </from>
                  <to>
                    <xdr:col>18</xdr:col>
                    <xdr:colOff>419100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InsertRowFormulas" altText="Ajouter ligne">
                <anchor moveWithCells="1">
                  <from>
                    <xdr:col>16</xdr:col>
                    <xdr:colOff>590550</xdr:colOff>
                    <xdr:row>18</xdr:row>
                    <xdr:rowOff>0</xdr:rowOff>
                  </from>
                  <to>
                    <xdr:col>18</xdr:col>
                    <xdr:colOff>419100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InsertRowFormulas" altText="Ajouter ligne">
                <anchor moveWithCells="1">
                  <from>
                    <xdr:col>5</xdr:col>
                    <xdr:colOff>714375</xdr:colOff>
                    <xdr:row>44</xdr:row>
                    <xdr:rowOff>28575</xdr:rowOff>
                  </from>
                  <to>
                    <xdr:col>6</xdr:col>
                    <xdr:colOff>895350</xdr:colOff>
                    <xdr:row>45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23F08-0D86-4C27-87FF-510FC5A4A3C4}">
  <sheetPr codeName="Feuil7"/>
  <dimension ref="B2:M42"/>
  <sheetViews>
    <sheetView showGridLines="0" topLeftCell="A4" zoomScale="85" zoomScaleNormal="85" workbookViewId="0">
      <selection activeCell="Y7" sqref="Y7"/>
    </sheetView>
  </sheetViews>
  <sheetFormatPr baseColWidth="10" defaultColWidth="11.42578125" defaultRowHeight="15" x14ac:dyDescent="0.25"/>
  <sheetData>
    <row r="2" spans="2:12" x14ac:dyDescent="0.25">
      <c r="B2" s="602" t="s">
        <v>97</v>
      </c>
      <c r="C2" s="603"/>
      <c r="D2" s="603"/>
      <c r="E2" s="603"/>
      <c r="F2" s="603"/>
      <c r="G2" s="603"/>
      <c r="H2" s="603"/>
      <c r="I2" s="603"/>
      <c r="J2" s="603"/>
      <c r="K2" s="604"/>
    </row>
    <row r="3" spans="2:12" x14ac:dyDescent="0.25">
      <c r="B3" s="605"/>
      <c r="C3" s="606"/>
      <c r="D3" s="606"/>
      <c r="E3" s="606"/>
      <c r="F3" s="606"/>
      <c r="G3" s="606"/>
      <c r="H3" s="606"/>
      <c r="I3" s="606"/>
      <c r="J3" s="606"/>
      <c r="K3" s="607"/>
    </row>
    <row r="4" spans="2:12" ht="15" customHeight="1" x14ac:dyDescent="0.25">
      <c r="B4" s="605"/>
      <c r="C4" s="606"/>
      <c r="D4" s="606"/>
      <c r="E4" s="606"/>
      <c r="F4" s="606"/>
      <c r="G4" s="606"/>
      <c r="H4" s="606"/>
      <c r="I4" s="606"/>
      <c r="J4" s="606"/>
      <c r="K4" s="607"/>
    </row>
    <row r="5" spans="2:12" ht="15" customHeight="1" x14ac:dyDescent="0.25">
      <c r="B5" s="605"/>
      <c r="C5" s="606"/>
      <c r="D5" s="606"/>
      <c r="E5" s="606"/>
      <c r="F5" s="606"/>
      <c r="G5" s="606"/>
      <c r="H5" s="606"/>
      <c r="I5" s="606"/>
      <c r="J5" s="606"/>
      <c r="K5" s="607"/>
    </row>
    <row r="6" spans="2:12" ht="15" customHeight="1" x14ac:dyDescent="0.25">
      <c r="B6" s="608"/>
      <c r="C6" s="609"/>
      <c r="D6" s="609"/>
      <c r="E6" s="609"/>
      <c r="F6" s="609"/>
      <c r="G6" s="609"/>
      <c r="H6" s="609"/>
      <c r="I6" s="609"/>
      <c r="J6" s="609"/>
      <c r="K6" s="610"/>
    </row>
    <row r="7" spans="2:12" x14ac:dyDescent="0.25">
      <c r="L7" s="126"/>
    </row>
    <row r="8" spans="2:12" x14ac:dyDescent="0.25">
      <c r="K8" s="126"/>
    </row>
    <row r="9" spans="2:12" x14ac:dyDescent="0.25">
      <c r="B9" s="254" t="s">
        <v>98</v>
      </c>
    </row>
    <row r="10" spans="2:12" x14ac:dyDescent="0.25">
      <c r="B10" s="255" t="s">
        <v>99</v>
      </c>
    </row>
    <row r="11" spans="2:12" x14ac:dyDescent="0.25">
      <c r="B11" s="255" t="s">
        <v>100</v>
      </c>
    </row>
    <row r="12" spans="2:12" x14ac:dyDescent="0.25">
      <c r="B12" s="126" t="s">
        <v>101</v>
      </c>
    </row>
    <row r="13" spans="2:12" x14ac:dyDescent="0.25">
      <c r="B13" s="126"/>
    </row>
    <row r="14" spans="2:12" x14ac:dyDescent="0.25">
      <c r="B14" s="254" t="s">
        <v>102</v>
      </c>
    </row>
    <row r="15" spans="2:12" x14ac:dyDescent="0.25">
      <c r="B15" s="255" t="s">
        <v>103</v>
      </c>
    </row>
    <row r="16" spans="2:12" x14ac:dyDescent="0.25">
      <c r="B16" s="255" t="s">
        <v>104</v>
      </c>
    </row>
    <row r="17" spans="2:2" x14ac:dyDescent="0.25">
      <c r="B17" s="255" t="s">
        <v>105</v>
      </c>
    </row>
    <row r="18" spans="2:2" x14ac:dyDescent="0.25">
      <c r="B18" s="126" t="s">
        <v>106</v>
      </c>
    </row>
    <row r="19" spans="2:2" x14ac:dyDescent="0.25">
      <c r="B19" s="126"/>
    </row>
    <row r="20" spans="2:2" x14ac:dyDescent="0.25">
      <c r="B20" s="254" t="s">
        <v>107</v>
      </c>
    </row>
    <row r="21" spans="2:2" x14ac:dyDescent="0.25">
      <c r="B21" s="255" t="s">
        <v>108</v>
      </c>
    </row>
    <row r="22" spans="2:2" x14ac:dyDescent="0.25">
      <c r="B22" s="255" t="s">
        <v>109</v>
      </c>
    </row>
    <row r="23" spans="2:2" x14ac:dyDescent="0.25">
      <c r="B23" s="255"/>
    </row>
    <row r="24" spans="2:2" x14ac:dyDescent="0.25">
      <c r="B24" s="254" t="s">
        <v>110</v>
      </c>
    </row>
    <row r="25" spans="2:2" x14ac:dyDescent="0.25">
      <c r="B25" s="257" t="s">
        <v>111</v>
      </c>
    </row>
    <row r="26" spans="2:2" x14ac:dyDescent="0.25">
      <c r="B26" s="255" t="s">
        <v>112</v>
      </c>
    </row>
    <row r="27" spans="2:2" x14ac:dyDescent="0.25">
      <c r="B27" s="256" t="s">
        <v>113</v>
      </c>
    </row>
    <row r="28" spans="2:2" x14ac:dyDescent="0.25">
      <c r="B28" s="256" t="s">
        <v>114</v>
      </c>
    </row>
    <row r="29" spans="2:2" ht="17.25" x14ac:dyDescent="0.25">
      <c r="B29" s="256" t="s">
        <v>115</v>
      </c>
    </row>
    <row r="30" spans="2:2" x14ac:dyDescent="0.25">
      <c r="B30" s="256" t="s">
        <v>116</v>
      </c>
    </row>
    <row r="31" spans="2:2" x14ac:dyDescent="0.25">
      <c r="B31" s="255" t="s">
        <v>117</v>
      </c>
    </row>
    <row r="32" spans="2:2" x14ac:dyDescent="0.25">
      <c r="B32" s="255" t="s">
        <v>118</v>
      </c>
    </row>
    <row r="34" spans="2:13" x14ac:dyDescent="0.25">
      <c r="B34" s="259" t="s">
        <v>119</v>
      </c>
      <c r="C34" s="260"/>
      <c r="D34" s="260"/>
      <c r="E34" s="260"/>
      <c r="F34" s="260"/>
      <c r="G34" s="260"/>
      <c r="H34" s="260"/>
      <c r="I34" s="260"/>
      <c r="J34" s="258"/>
      <c r="K34" s="258"/>
      <c r="L34" s="258"/>
      <c r="M34" s="258"/>
    </row>
    <row r="35" spans="2:13" x14ac:dyDescent="0.25">
      <c r="B35" s="259"/>
      <c r="C35" s="260"/>
      <c r="D35" s="260"/>
      <c r="E35" s="260"/>
      <c r="F35" s="260"/>
      <c r="G35" s="260"/>
      <c r="H35" s="260"/>
      <c r="I35" s="260"/>
      <c r="J35" s="258"/>
      <c r="K35" s="258"/>
      <c r="L35" s="258"/>
      <c r="M35" s="258"/>
    </row>
    <row r="36" spans="2:13" x14ac:dyDescent="0.25">
      <c r="B36" s="261" t="s">
        <v>120</v>
      </c>
      <c r="C36" s="260"/>
      <c r="D36" s="260"/>
      <c r="E36" s="260"/>
      <c r="F36" s="260"/>
      <c r="G36" s="260"/>
      <c r="H36" s="260"/>
      <c r="I36" s="260"/>
      <c r="J36" s="258"/>
      <c r="K36" s="258"/>
      <c r="L36" s="258"/>
      <c r="M36" s="258"/>
    </row>
    <row r="37" spans="2:13" x14ac:dyDescent="0.25">
      <c r="B37" s="261" t="s">
        <v>121</v>
      </c>
      <c r="C37" s="260"/>
      <c r="D37" s="260"/>
      <c r="E37" s="260"/>
      <c r="F37" s="260"/>
      <c r="G37" s="260"/>
      <c r="H37" s="260"/>
      <c r="I37" s="260"/>
      <c r="J37" s="258"/>
      <c r="K37" s="258"/>
      <c r="L37" s="258"/>
      <c r="M37" s="258"/>
    </row>
    <row r="38" spans="2:13" x14ac:dyDescent="0.25">
      <c r="B38" s="262" t="s">
        <v>122</v>
      </c>
      <c r="C38" s="260"/>
      <c r="D38" s="260"/>
      <c r="E38" s="260"/>
      <c r="F38" s="260"/>
      <c r="G38" s="260"/>
      <c r="H38" s="260"/>
      <c r="I38" s="260"/>
      <c r="J38" s="258"/>
      <c r="K38" s="258"/>
      <c r="L38" s="258"/>
      <c r="M38" s="258"/>
    </row>
    <row r="39" spans="2:13" x14ac:dyDescent="0.25">
      <c r="B39" s="261" t="s">
        <v>123</v>
      </c>
      <c r="C39" s="260"/>
      <c r="D39" s="260"/>
      <c r="E39" s="260"/>
      <c r="F39" s="260"/>
      <c r="G39" s="260"/>
      <c r="H39" s="260"/>
      <c r="I39" s="260"/>
      <c r="J39" s="258"/>
      <c r="K39" s="258"/>
      <c r="L39" s="258"/>
      <c r="M39" s="258"/>
    </row>
    <row r="40" spans="2:13" x14ac:dyDescent="0.25">
      <c r="B40" s="261" t="s">
        <v>124</v>
      </c>
      <c r="C40" s="260"/>
      <c r="D40" s="260"/>
      <c r="E40" s="260"/>
      <c r="F40" s="260"/>
      <c r="G40" s="260"/>
      <c r="H40" s="260"/>
      <c r="I40" s="260"/>
      <c r="J40" s="258"/>
      <c r="K40" s="258"/>
      <c r="L40" s="258"/>
      <c r="M40" s="258"/>
    </row>
    <row r="41" spans="2:13" x14ac:dyDescent="0.25">
      <c r="B41" s="126"/>
    </row>
    <row r="42" spans="2:13" ht="21" x14ac:dyDescent="0.25">
      <c r="B42" s="263" t="s">
        <v>125</v>
      </c>
    </row>
  </sheetData>
  <mergeCells count="1">
    <mergeCell ref="B2:K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CF8FD-AB24-4445-B88A-ECCCF0FFA3B3}">
  <sheetPr codeName="Feuil8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87A6B-DA77-4A9C-AEEE-E6C3CD0C8C56}">
  <sheetPr codeName="Feuil4">
    <pageSetUpPr fitToPage="1"/>
  </sheetPr>
  <dimension ref="A1:G131"/>
  <sheetViews>
    <sheetView showGridLines="0" tabSelected="1" zoomScale="70" zoomScaleNormal="70" workbookViewId="0">
      <pane ySplit="1" topLeftCell="A77" activePane="bottomLeft" state="frozen"/>
      <selection activeCell="E24" sqref="E24"/>
      <selection pane="bottomLeft" activeCell="A96" sqref="A96:G102"/>
    </sheetView>
  </sheetViews>
  <sheetFormatPr baseColWidth="10" defaultColWidth="11.42578125" defaultRowHeight="17.25" x14ac:dyDescent="0.3"/>
  <cols>
    <col min="1" max="1" width="14.28515625" style="1" customWidth="1"/>
    <col min="2" max="2" width="90.28515625" style="1" bestFit="1" customWidth="1"/>
    <col min="3" max="3" width="42.5703125" style="375" bestFit="1" customWidth="1"/>
    <col min="4" max="4" width="20.140625" style="169" customWidth="1"/>
    <col min="5" max="5" width="18.7109375" style="239" customWidth="1"/>
    <col min="6" max="6" width="18.5703125" style="239" customWidth="1"/>
    <col min="7" max="7" width="19.85546875" style="375" customWidth="1"/>
    <col min="8" max="10" width="11.42578125" style="1"/>
    <col min="11" max="11" width="15.140625" style="1" bestFit="1" customWidth="1"/>
    <col min="12" max="16384" width="11.42578125" style="1"/>
  </cols>
  <sheetData>
    <row r="1" spans="1:7" s="386" customFormat="1" ht="83.25" customHeight="1" x14ac:dyDescent="0.3">
      <c r="C1" s="387"/>
      <c r="D1" s="388"/>
      <c r="E1" s="389"/>
      <c r="F1" s="389"/>
      <c r="G1" s="387"/>
    </row>
    <row r="2" spans="1:7" ht="18" thickBot="1" x14ac:dyDescent="0.35"/>
    <row r="3" spans="1:7" ht="29.25" customHeight="1" thickBot="1" x14ac:dyDescent="0.35">
      <c r="A3" s="615" t="s">
        <v>1012</v>
      </c>
      <c r="B3" s="616"/>
      <c r="C3" s="616"/>
      <c r="D3" s="616"/>
      <c r="E3" s="616"/>
      <c r="F3" s="616"/>
      <c r="G3" s="617"/>
    </row>
    <row r="4" spans="1:7" ht="21.75" customHeight="1" thickBot="1" x14ac:dyDescent="0.35">
      <c r="A4" s="623" t="s">
        <v>126</v>
      </c>
      <c r="B4" s="521" t="s">
        <v>3</v>
      </c>
      <c r="C4" s="523" t="s">
        <v>4</v>
      </c>
      <c r="D4" s="244" t="s">
        <v>6</v>
      </c>
      <c r="E4" s="245" t="s">
        <v>40</v>
      </c>
      <c r="F4" s="350" t="s">
        <v>41</v>
      </c>
      <c r="G4" s="213" t="s">
        <v>127</v>
      </c>
    </row>
    <row r="5" spans="1:7" ht="24.75" customHeight="1" x14ac:dyDescent="0.3">
      <c r="A5" s="624"/>
      <c r="B5" s="522" t="s">
        <v>128</v>
      </c>
      <c r="C5" s="360" t="str">
        <f>VLOOKUP(B5,Tableau17[],8,FALSE)</f>
        <v>Clair de Lune</v>
      </c>
      <c r="D5" s="488">
        <f>VLOOKUP(B5,Tableau17[],11,FALSE)</f>
        <v>9.6</v>
      </c>
      <c r="E5" s="206">
        <v>0.28999999999999998</v>
      </c>
      <c r="F5" s="491" t="s">
        <v>87</v>
      </c>
      <c r="G5" s="360" t="str">
        <f>VLOOKUP(B5,Tableau17[],4,FALSE)</f>
        <v>Qc</v>
      </c>
    </row>
    <row r="6" spans="1:7" ht="21.75" customHeight="1" x14ac:dyDescent="0.3">
      <c r="A6" s="624"/>
      <c r="B6" s="522" t="s">
        <v>1050</v>
      </c>
      <c r="C6" s="360" t="str">
        <f>VLOOKUP(B6,Tableau17[],8,FALSE)</f>
        <v>Clair de Lune</v>
      </c>
      <c r="D6" s="488">
        <f>VLOOKUP(B6,Tableau17[],11,FALSE)</f>
        <v>11.4</v>
      </c>
      <c r="E6" s="206">
        <v>0.25</v>
      </c>
      <c r="F6" s="491" t="s">
        <v>87</v>
      </c>
      <c r="G6" s="360" t="str">
        <f>VLOOKUP(B6,Tableau17[],4,FALSE)</f>
        <v>Qc</v>
      </c>
    </row>
    <row r="7" spans="1:7" ht="21.75" customHeight="1" x14ac:dyDescent="0.3">
      <c r="A7" s="624"/>
      <c r="B7" s="544" t="s">
        <v>1023</v>
      </c>
      <c r="C7" s="360" t="str">
        <f>VLOOKUP(B7,Tableau17[],8,FALSE)</f>
        <v>Fleurs de Lise</v>
      </c>
      <c r="D7" s="316">
        <f>VLOOKUP(B7,Tableau17[],11,FALSE)</f>
        <v>10</v>
      </c>
      <c r="E7" s="206">
        <v>0.25</v>
      </c>
      <c r="F7" s="317" t="s">
        <v>87</v>
      </c>
      <c r="G7" s="360" t="str">
        <f>VLOOKUP(B7,Tableau17[],4,FALSE)</f>
        <v>Qc</v>
      </c>
    </row>
    <row r="8" spans="1:7" ht="21.75" customHeight="1" x14ac:dyDescent="0.3">
      <c r="A8" s="624"/>
      <c r="B8" s="544" t="s">
        <v>129</v>
      </c>
      <c r="C8" s="360" t="str">
        <f>VLOOKUP(B8,Tableau17[],8,FALSE)</f>
        <v>Pure Laine Cannabis</v>
      </c>
      <c r="D8" s="488">
        <f>VLOOKUP(B8,Tableau17[],11,FALSE)</f>
        <v>10.6</v>
      </c>
      <c r="E8" s="206">
        <v>0.24</v>
      </c>
      <c r="F8" s="317" t="s">
        <v>87</v>
      </c>
      <c r="G8" s="360" t="str">
        <f>VLOOKUP(B8,Tableau17[],4,FALSE)</f>
        <v>Qc</v>
      </c>
    </row>
    <row r="9" spans="1:7" ht="21.75" customHeight="1" x14ac:dyDescent="0.3">
      <c r="A9" s="624"/>
      <c r="B9" s="522" t="s">
        <v>130</v>
      </c>
      <c r="C9" s="360" t="str">
        <f>VLOOKUP(B9,Tableau17[],8,FALSE)</f>
        <v>QcGoldtech</v>
      </c>
      <c r="D9" s="488">
        <f>VLOOKUP(B9,Tableau17[],11,FALSE)</f>
        <v>10.9</v>
      </c>
      <c r="E9" s="206">
        <v>0.2</v>
      </c>
      <c r="F9" s="491" t="s">
        <v>87</v>
      </c>
      <c r="G9" s="360" t="str">
        <f>VLOOKUP(B9,Tableau17[],4,FALSE)</f>
        <v>Qc</v>
      </c>
    </row>
    <row r="10" spans="1:7" ht="21.75" customHeight="1" x14ac:dyDescent="0.3">
      <c r="A10" s="624"/>
      <c r="B10" s="522" t="s">
        <v>131</v>
      </c>
      <c r="C10" s="360" t="str">
        <f>VLOOKUP(B10,Tableau17[],8,FALSE)</f>
        <v>Pure Laine Cannabis</v>
      </c>
      <c r="D10" s="524">
        <f>VLOOKUP(B10,Tableau17[],11,FALSE)</f>
        <v>10.6</v>
      </c>
      <c r="E10" s="206">
        <v>0.06</v>
      </c>
      <c r="F10" s="491">
        <v>0.06</v>
      </c>
      <c r="G10" s="360" t="str">
        <f>VLOOKUP(B10,Tableau17[],4,FALSE)</f>
        <v>-</v>
      </c>
    </row>
    <row r="11" spans="1:7" ht="3.75" customHeight="1" thickBot="1" x14ac:dyDescent="0.35">
      <c r="A11" s="10"/>
      <c r="B11" s="228"/>
      <c r="C11" s="525"/>
      <c r="D11" s="526"/>
      <c r="E11" s="277"/>
      <c r="F11" s="527"/>
      <c r="G11" s="525"/>
    </row>
    <row r="12" spans="1:7" ht="19.5" hidden="1" customHeight="1" thickBot="1" x14ac:dyDescent="0.35">
      <c r="A12" s="10"/>
      <c r="B12" s="228" t="s">
        <v>158</v>
      </c>
      <c r="C12" s="525" t="s">
        <v>1018</v>
      </c>
      <c r="D12" s="526" t="s">
        <v>1019</v>
      </c>
      <c r="E12" s="277" t="s">
        <v>1020</v>
      </c>
      <c r="F12" s="527" t="s">
        <v>1021</v>
      </c>
      <c r="G12" s="525" t="s">
        <v>1022</v>
      </c>
    </row>
    <row r="13" spans="1:7" ht="21.75" customHeight="1" x14ac:dyDescent="0.3">
      <c r="A13" s="632" t="s">
        <v>132</v>
      </c>
      <c r="B13" s="530" t="s">
        <v>1036</v>
      </c>
      <c r="C13" s="528" t="str">
        <f>VLOOKUP(B13,Tableau8[],8,FALSE)</f>
        <v>Tweed</v>
      </c>
      <c r="D13" s="467">
        <f>VLOOKUP(B13,Tableau8[],11,FALSE)</f>
        <v>50.9</v>
      </c>
      <c r="E13" s="384" t="s">
        <v>1037</v>
      </c>
      <c r="F13" s="529" t="s">
        <v>87</v>
      </c>
      <c r="G13" s="469" t="str">
        <f>VLOOKUP(B13,Tableau8[],4,FALSE)</f>
        <v>-</v>
      </c>
    </row>
    <row r="14" spans="1:7" ht="21.75" customHeight="1" thickBot="1" x14ac:dyDescent="0.35">
      <c r="A14" s="634"/>
      <c r="B14" s="535" t="s">
        <v>1034</v>
      </c>
      <c r="C14" s="536" t="str">
        <f>VLOOKUP(B14,Tableau8[],8,FALSE)</f>
        <v>Cheers à Lise</v>
      </c>
      <c r="D14" s="537">
        <f>VLOOKUP(B14,Tableau8[],11,FALSE)</f>
        <v>55</v>
      </c>
      <c r="E14" s="538" t="s">
        <v>1053</v>
      </c>
      <c r="F14" s="539" t="s">
        <v>87</v>
      </c>
      <c r="G14" s="536" t="str">
        <f>VLOOKUP(B14,Tableau8[],4,FALSE)</f>
        <v>Qc</v>
      </c>
    </row>
    <row r="15" spans="1:7" ht="6.75" customHeight="1" thickBot="1" x14ac:dyDescent="0.35">
      <c r="A15" s="10"/>
      <c r="B15" s="481"/>
      <c r="C15" s="482"/>
      <c r="D15" s="483"/>
      <c r="E15" s="484"/>
      <c r="F15" s="485"/>
      <c r="G15" s="482"/>
    </row>
    <row r="16" spans="1:7" ht="21.75" hidden="1" customHeight="1" x14ac:dyDescent="0.3">
      <c r="A16" s="632" t="s">
        <v>132</v>
      </c>
      <c r="B16" s="486" t="s">
        <v>133</v>
      </c>
      <c r="C16" s="469" t="str">
        <f>VLOOKUP(B16,Tableau8[],8,FALSE)</f>
        <v>Flowr</v>
      </c>
      <c r="D16" s="487">
        <f>VLOOKUP(B16,Tableau8[],11,FALSE)</f>
        <v>48.3</v>
      </c>
      <c r="E16" s="384"/>
      <c r="F16" s="490"/>
      <c r="G16" s="469" t="str">
        <f>VLOOKUP(B16,Tableau8[],4,FALSE)</f>
        <v>-</v>
      </c>
    </row>
    <row r="17" spans="1:7" ht="21.75" hidden="1" customHeight="1" x14ac:dyDescent="0.3">
      <c r="A17" s="633"/>
      <c r="B17" s="219"/>
      <c r="C17" s="360"/>
      <c r="D17" s="488"/>
      <c r="E17" s="206"/>
      <c r="F17" s="491"/>
      <c r="G17" s="360"/>
    </row>
    <row r="18" spans="1:7" ht="21.75" hidden="1" customHeight="1" thickBot="1" x14ac:dyDescent="0.35">
      <c r="A18" s="634"/>
      <c r="B18" s="470"/>
      <c r="C18" s="473"/>
      <c r="D18" s="489"/>
      <c r="E18" s="385"/>
      <c r="F18" s="492"/>
      <c r="G18" s="473"/>
    </row>
    <row r="19" spans="1:7" ht="9" hidden="1" customHeight="1" thickBot="1" x14ac:dyDescent="0.35">
      <c r="A19" s="10"/>
      <c r="B19" s="217"/>
      <c r="C19" s="361"/>
      <c r="D19" s="166"/>
      <c r="E19" s="235"/>
      <c r="F19" s="9"/>
      <c r="G19" s="194"/>
    </row>
    <row r="20" spans="1:7" ht="29.25" customHeight="1" thickBot="1" x14ac:dyDescent="0.35">
      <c r="A20" s="615" t="s">
        <v>134</v>
      </c>
      <c r="B20" s="616"/>
      <c r="C20" s="616"/>
      <c r="D20" s="616"/>
      <c r="E20" s="616"/>
      <c r="F20" s="616"/>
      <c r="G20" s="617"/>
    </row>
    <row r="21" spans="1:7" ht="18" customHeight="1" thickBot="1" x14ac:dyDescent="0.35">
      <c r="A21" s="621" t="s">
        <v>135</v>
      </c>
      <c r="B21" s="243" t="s">
        <v>3</v>
      </c>
      <c r="C21" s="213" t="s">
        <v>4</v>
      </c>
      <c r="D21" s="244" t="s">
        <v>6</v>
      </c>
      <c r="E21" s="245" t="s">
        <v>40</v>
      </c>
      <c r="F21" s="249" t="s">
        <v>41</v>
      </c>
      <c r="G21" s="376" t="s">
        <v>136</v>
      </c>
    </row>
    <row r="22" spans="1:7" ht="21.75" customHeight="1" x14ac:dyDescent="0.3">
      <c r="A22" s="622"/>
      <c r="B22" s="219" t="s">
        <v>525</v>
      </c>
      <c r="C22" s="209" t="str">
        <f>VLOOKUP(B22,Tableau15[],8,FALSE)</f>
        <v>San Rafael '71</v>
      </c>
      <c r="D22" s="324">
        <f>VLOOKUP(B22,Tableau15[],11,FALSE)</f>
        <v>133.30000000000001</v>
      </c>
      <c r="E22" s="206">
        <v>0.28000000000000003</v>
      </c>
      <c r="F22" s="531" t="s">
        <v>87</v>
      </c>
      <c r="G22" s="532" t="str">
        <f>VLOOKUP(B22,Tableau15[],4,FALSE)</f>
        <v>-</v>
      </c>
    </row>
    <row r="23" spans="1:7" ht="21.75" customHeight="1" x14ac:dyDescent="0.3">
      <c r="A23" s="622"/>
      <c r="B23" s="219" t="s">
        <v>1049</v>
      </c>
      <c r="C23" s="209" t="str">
        <f>VLOOKUP(B23,Tableau15[],8,FALSE)</f>
        <v>Highly Dutch Organic</v>
      </c>
      <c r="D23" s="324">
        <f>VLOOKUP(B23,Tableau15[],11,FALSE)</f>
        <v>85</v>
      </c>
      <c r="E23" s="206">
        <v>0.28000000000000003</v>
      </c>
      <c r="F23" s="531" t="s">
        <v>87</v>
      </c>
      <c r="G23" s="532" t="str">
        <f>VLOOKUP(B23,Tableau15[],4,FALSE)</f>
        <v>-</v>
      </c>
    </row>
    <row r="24" spans="1:7" ht="21.75" customHeight="1" x14ac:dyDescent="0.3">
      <c r="A24" s="622"/>
      <c r="B24" s="219" t="s">
        <v>1045</v>
      </c>
      <c r="C24" s="209" t="str">
        <f>VLOOKUP(B24,Tableau15[],8,FALSE)</f>
        <v>Canaca</v>
      </c>
      <c r="D24" s="324">
        <f>VLOOKUP(B24,Tableau15[],11,FALSE)</f>
        <v>70.099999999999994</v>
      </c>
      <c r="E24" s="206">
        <v>0.21</v>
      </c>
      <c r="F24" s="531" t="s">
        <v>87</v>
      </c>
      <c r="G24" s="532" t="str">
        <f>VLOOKUP(B24,Tableau15[],4,FALSE)</f>
        <v>-</v>
      </c>
    </row>
    <row r="25" spans="1:7" ht="4.5" customHeight="1" thickBot="1" x14ac:dyDescent="0.35">
      <c r="A25" s="204"/>
      <c r="B25" s="204"/>
      <c r="C25" s="362"/>
      <c r="D25" s="202"/>
      <c r="E25" s="203"/>
      <c r="F25" s="203"/>
      <c r="G25" s="362"/>
    </row>
    <row r="26" spans="1:7" ht="18" hidden="1" customHeight="1" thickBot="1" x14ac:dyDescent="0.35">
      <c r="A26" s="204"/>
      <c r="B26" s="459" t="s">
        <v>3</v>
      </c>
      <c r="C26" s="371" t="s">
        <v>4</v>
      </c>
      <c r="D26" s="460" t="s">
        <v>6</v>
      </c>
      <c r="E26" s="242" t="s">
        <v>40</v>
      </c>
      <c r="F26" s="250" t="s">
        <v>41</v>
      </c>
      <c r="G26" s="461" t="s">
        <v>136</v>
      </c>
    </row>
    <row r="27" spans="1:7" ht="21.75" customHeight="1" x14ac:dyDescent="0.3">
      <c r="A27" s="629" t="s">
        <v>137</v>
      </c>
      <c r="B27" s="462" t="s">
        <v>138</v>
      </c>
      <c r="C27" s="463" t="str">
        <f>VLOOKUP(B27,Tableau14[],8,FALSE)</f>
        <v>Fleurs de Lise</v>
      </c>
      <c r="D27" s="464">
        <f>VLOOKUP(B27,Tableau14[],11,FALSE)</f>
        <v>119.5</v>
      </c>
      <c r="E27" s="465">
        <v>0.28999999999999998</v>
      </c>
      <c r="F27" s="466" t="s">
        <v>87</v>
      </c>
      <c r="G27" s="463" t="str">
        <f>VLOOKUP(B27,Tableau14[],4,FALSE)</f>
        <v>Qc</v>
      </c>
    </row>
    <row r="28" spans="1:7" ht="21.75" customHeight="1" x14ac:dyDescent="0.3">
      <c r="A28" s="630"/>
      <c r="B28" s="356" t="s">
        <v>139</v>
      </c>
      <c r="C28" s="533" t="str">
        <f>VLOOKUP(B28,Tableau14[],8,FALSE)</f>
        <v>Blanh</v>
      </c>
      <c r="D28" s="558">
        <f>VLOOKUP(B28,Tableau14[],11,FALSE)</f>
        <v>89.6</v>
      </c>
      <c r="E28" s="560">
        <v>0.27</v>
      </c>
      <c r="F28" s="561" t="s">
        <v>87</v>
      </c>
      <c r="G28" s="533" t="str">
        <f>VLOOKUP(B28,Tableau14[],4,FALSE)</f>
        <v>Qc</v>
      </c>
    </row>
    <row r="29" spans="1:7" ht="21.75" customHeight="1" x14ac:dyDescent="0.3">
      <c r="A29" s="630"/>
      <c r="B29" s="356" t="s">
        <v>146</v>
      </c>
      <c r="C29" s="555" t="str">
        <f>VLOOKUP(B29,Tableau14[],8,FALSE)</f>
        <v>Shred</v>
      </c>
      <c r="D29" s="557">
        <f>VLOOKUP(B29,Tableau14[],11,FALSE)</f>
        <v>70.8</v>
      </c>
      <c r="E29" s="357">
        <v>0.26</v>
      </c>
      <c r="F29" s="328" t="s">
        <v>87</v>
      </c>
      <c r="G29" s="556" t="str">
        <f>VLOOKUP(B29,Tableau14[],4,FALSE)</f>
        <v>-</v>
      </c>
    </row>
    <row r="30" spans="1:7" ht="21.75" customHeight="1" x14ac:dyDescent="0.3">
      <c r="A30" s="630"/>
      <c r="B30" s="356" t="s">
        <v>140</v>
      </c>
      <c r="C30" s="533" t="str">
        <f>VLOOKUP(B30,Tableau14[],8,FALSE)</f>
        <v>Good Supply</v>
      </c>
      <c r="D30" s="558">
        <f>VLOOKUP(B30,Tableau14[],11,FALSE)</f>
        <v>85.4</v>
      </c>
      <c r="E30" s="357">
        <v>0.23</v>
      </c>
      <c r="F30" s="328" t="s">
        <v>87</v>
      </c>
      <c r="G30" s="534" t="str">
        <f>VLOOKUP(B30,Tableau14[],4,FALSE)</f>
        <v>-</v>
      </c>
    </row>
    <row r="31" spans="1:7" ht="24" thickBot="1" x14ac:dyDescent="0.35">
      <c r="A31" s="631"/>
      <c r="B31" s="518" t="s">
        <v>141</v>
      </c>
      <c r="C31" s="391" t="str">
        <f>VLOOKUP(B31,Tableau14[],8,FALSE)</f>
        <v>Pure Trichomes x Velada</v>
      </c>
      <c r="D31" s="447">
        <f>VLOOKUP(B31,Tableau14[],11,FALSE)</f>
        <v>83.3</v>
      </c>
      <c r="E31" s="519">
        <v>0</v>
      </c>
      <c r="F31" s="520">
        <v>0.1</v>
      </c>
      <c r="G31" s="391" t="str">
        <f>VLOOKUP(B31,Tableau14[],4,FALSE)</f>
        <v>Qc</v>
      </c>
    </row>
    <row r="32" spans="1:7" ht="5.25" customHeight="1" thickBot="1" x14ac:dyDescent="0.35">
      <c r="A32" s="269"/>
      <c r="B32" s="228"/>
      <c r="C32" s="363"/>
      <c r="D32" s="268"/>
      <c r="E32" s="276"/>
      <c r="F32" s="277"/>
      <c r="G32" s="377"/>
    </row>
    <row r="33" spans="1:7" ht="16.5" hidden="1" customHeight="1" thickBot="1" x14ac:dyDescent="0.35">
      <c r="A33" s="204"/>
      <c r="B33" s="329" t="s">
        <v>3</v>
      </c>
      <c r="C33" s="364" t="s">
        <v>4</v>
      </c>
      <c r="D33" s="330" t="s">
        <v>6</v>
      </c>
      <c r="E33" s="331" t="s">
        <v>40</v>
      </c>
      <c r="F33" s="332" t="s">
        <v>41</v>
      </c>
      <c r="G33" s="364" t="s">
        <v>136</v>
      </c>
    </row>
    <row r="34" spans="1:7" ht="23.25" customHeight="1" x14ac:dyDescent="0.3">
      <c r="A34" s="627" t="s">
        <v>142</v>
      </c>
      <c r="B34" s="559" t="s">
        <v>1054</v>
      </c>
      <c r="C34" s="562" t="str">
        <f>VLOOKUP(B34,Tableau16[],8,FALSE)</f>
        <v>Nugz</v>
      </c>
      <c r="D34" s="467">
        <f>VLOOKUP(B34,Tableau16[],11,FALSE)</f>
        <v>85</v>
      </c>
      <c r="E34" s="468">
        <v>0.28999999999999998</v>
      </c>
      <c r="F34" s="468" t="s">
        <v>87</v>
      </c>
      <c r="G34" s="469" t="str">
        <f>VLOOKUP(B34,Tableau16[],4,FALSE)</f>
        <v>Qc</v>
      </c>
    </row>
    <row r="35" spans="1:7" ht="23.25" customHeight="1" x14ac:dyDescent="0.3">
      <c r="A35" s="628"/>
      <c r="B35" s="355" t="s">
        <v>145</v>
      </c>
      <c r="C35" s="563" t="str">
        <f>VLOOKUP(B35,Tableau16[],8,FALSE)</f>
        <v>Fleurs de Lise</v>
      </c>
      <c r="D35" s="316">
        <f>VLOOKUP(B35,Tableau16[],11,FALSE)</f>
        <v>100</v>
      </c>
      <c r="E35" s="318">
        <v>0.26</v>
      </c>
      <c r="F35" s="318" t="s">
        <v>87</v>
      </c>
      <c r="G35" s="360" t="str">
        <f>VLOOKUP(B35,Tableau16[],4,FALSE)</f>
        <v>Qc</v>
      </c>
    </row>
    <row r="36" spans="1:7" ht="23.25" customHeight="1" x14ac:dyDescent="0.3">
      <c r="A36" s="628"/>
      <c r="B36" s="535" t="s">
        <v>144</v>
      </c>
      <c r="C36" s="563" t="str">
        <f>VLOOKUP(B36,Tableau16[],8,FALSE)</f>
        <v>Pure Laine Cannabis</v>
      </c>
      <c r="D36" s="316">
        <f>VLOOKUP(B36,Tableau16[],11,FALSE)</f>
        <v>98.6</v>
      </c>
      <c r="E36" s="318">
        <v>0.26</v>
      </c>
      <c r="F36" s="318" t="s">
        <v>87</v>
      </c>
      <c r="G36" s="360" t="str">
        <f>VLOOKUP(B36,Tableau16[],4,FALSE)</f>
        <v>-</v>
      </c>
    </row>
    <row r="37" spans="1:7" ht="23.25" customHeight="1" x14ac:dyDescent="0.3">
      <c r="A37" s="628"/>
      <c r="B37" s="535" t="s">
        <v>143</v>
      </c>
      <c r="C37" s="563" t="str">
        <f>VLOOKUP(B37,Tableau16[],8,FALSE)</f>
        <v>Pure Laine Cannabis</v>
      </c>
      <c r="D37" s="316">
        <f>VLOOKUP(B37,Tableau16[],11,FALSE)</f>
        <v>70.099999999999994</v>
      </c>
      <c r="E37" s="318">
        <v>0.25</v>
      </c>
      <c r="F37" s="318" t="s">
        <v>87</v>
      </c>
      <c r="G37" s="360" t="str">
        <f>VLOOKUP(B37,Tableau16[],4,FALSE)</f>
        <v>-</v>
      </c>
    </row>
    <row r="38" spans="1:7" ht="23.25" customHeight="1" x14ac:dyDescent="0.3">
      <c r="A38" s="628"/>
      <c r="B38" s="355" t="s">
        <v>1024</v>
      </c>
      <c r="C38" s="563" t="str">
        <f>VLOOKUP(B38,Tableau16[],8,FALSE)</f>
        <v>Nugz</v>
      </c>
      <c r="D38" s="316">
        <f>VLOOKUP(B38,Tableau16[],11,FALSE)</f>
        <v>70.099999999999994</v>
      </c>
      <c r="E38" s="318">
        <v>0.24</v>
      </c>
      <c r="F38" s="318" t="s">
        <v>87</v>
      </c>
      <c r="G38" s="360" t="str">
        <f>VLOOKUP(B38,Tableau16[],4,FALSE)</f>
        <v>Qc</v>
      </c>
    </row>
    <row r="39" spans="1:7" ht="23.25" customHeight="1" x14ac:dyDescent="0.3">
      <c r="A39" s="628"/>
      <c r="B39" s="355" t="s">
        <v>147</v>
      </c>
      <c r="C39" s="563" t="str">
        <f>VLOOKUP(B39,Tableau16[],8,FALSE)</f>
        <v>Fleurs de Lise</v>
      </c>
      <c r="D39" s="316">
        <f>VLOOKUP(B39,Tableau16[],11,FALSE)</f>
        <v>79.5</v>
      </c>
      <c r="E39" s="318">
        <v>0.2</v>
      </c>
      <c r="F39" s="318" t="s">
        <v>87</v>
      </c>
      <c r="G39" s="360" t="str">
        <f>VLOOKUP(B39,Tableau16[],4,FALSE)</f>
        <v>Qc</v>
      </c>
    </row>
    <row r="40" spans="1:7" ht="23.25" customHeight="1" x14ac:dyDescent="0.3">
      <c r="A40" s="628"/>
      <c r="B40" s="355" t="s">
        <v>1038</v>
      </c>
      <c r="C40" s="563" t="str">
        <f>VLOOKUP(B40,Tableau16[],8,FALSE)</f>
        <v>Saturday</v>
      </c>
      <c r="D40" s="316">
        <f>VLOOKUP(B40,Tableau16[],11,FALSE)</f>
        <v>70.2</v>
      </c>
      <c r="E40" s="318">
        <v>0.14000000000000001</v>
      </c>
      <c r="F40" s="318">
        <v>0.04</v>
      </c>
      <c r="G40" s="360" t="str">
        <f>VLOOKUP(B40,Tableau16[],4,FALSE)</f>
        <v>-</v>
      </c>
    </row>
    <row r="41" spans="1:7" ht="23.25" customHeight="1" x14ac:dyDescent="0.3">
      <c r="A41" s="628"/>
      <c r="B41" s="355" t="s">
        <v>148</v>
      </c>
      <c r="C41" s="563" t="str">
        <f>VLOOKUP(B41,Tableau16[],8,FALSE)</f>
        <v>XK</v>
      </c>
      <c r="D41" s="316">
        <f>VLOOKUP(B41,Tableau16[],11,FALSE)</f>
        <v>69</v>
      </c>
      <c r="E41" s="318">
        <v>0.09</v>
      </c>
      <c r="F41" s="318">
        <v>0.09</v>
      </c>
      <c r="G41" s="360" t="str">
        <f>VLOOKUP(B41,Tableau16[],4,FALSE)</f>
        <v>-</v>
      </c>
    </row>
    <row r="42" spans="1:7" ht="23.25" customHeight="1" x14ac:dyDescent="0.3">
      <c r="A42" s="628"/>
      <c r="B42" s="355" t="s">
        <v>1039</v>
      </c>
      <c r="C42" s="563" t="str">
        <f>VLOOKUP(B42,Tableau16[],8,FALSE)</f>
        <v>Clem &amp; Co</v>
      </c>
      <c r="D42" s="316">
        <f>VLOOKUP(B42,Tableau16[],11,FALSE)</f>
        <v>110</v>
      </c>
      <c r="E42" s="318">
        <v>0.09</v>
      </c>
      <c r="F42" s="318">
        <v>0.13</v>
      </c>
      <c r="G42" s="360" t="str">
        <f>VLOOKUP(B42,Tableau16[],4,FALSE)</f>
        <v>Qc</v>
      </c>
    </row>
    <row r="43" spans="1:7" ht="23.25" customHeight="1" thickBot="1" x14ac:dyDescent="0.35">
      <c r="A43" s="620"/>
      <c r="B43" s="470" t="s">
        <v>149</v>
      </c>
      <c r="C43" s="564" t="str">
        <f>VLOOKUP(B43,Tableau16[],8,FALSE)</f>
        <v>Bleuh Light</v>
      </c>
      <c r="D43" s="471">
        <f>VLOOKUP(B43,Tableau16[],11,FALSE)</f>
        <v>71.8</v>
      </c>
      <c r="E43" s="472">
        <v>0</v>
      </c>
      <c r="F43" s="472">
        <v>0.15</v>
      </c>
      <c r="G43" s="473" t="str">
        <f>VLOOKUP(B43,Tableau16[],4,FALSE)</f>
        <v>Qc</v>
      </c>
    </row>
    <row r="44" spans="1:7" ht="6" customHeight="1" thickBot="1" x14ac:dyDescent="0.35">
      <c r="A44" s="220"/>
      <c r="B44" s="220"/>
      <c r="C44" s="366"/>
      <c r="D44" s="167"/>
      <c r="E44" s="198"/>
      <c r="F44" s="198"/>
      <c r="G44" s="366"/>
    </row>
    <row r="45" spans="1:7" ht="29.25" customHeight="1" thickBot="1" x14ac:dyDescent="0.35">
      <c r="A45" s="615" t="s">
        <v>150</v>
      </c>
      <c r="B45" s="616"/>
      <c r="C45" s="616"/>
      <c r="D45" s="616"/>
      <c r="E45" s="616"/>
      <c r="F45" s="616"/>
      <c r="G45" s="617"/>
    </row>
    <row r="46" spans="1:7" ht="21.95" customHeight="1" thickBot="1" x14ac:dyDescent="0.35">
      <c r="A46" s="618" t="s">
        <v>135</v>
      </c>
      <c r="B46" s="218" t="s">
        <v>3</v>
      </c>
      <c r="C46" s="207" t="s">
        <v>4</v>
      </c>
      <c r="D46" s="208" t="s">
        <v>6</v>
      </c>
      <c r="E46" s="234" t="s">
        <v>40</v>
      </c>
      <c r="F46" s="251" t="s">
        <v>41</v>
      </c>
      <c r="G46" s="378" t="s">
        <v>136</v>
      </c>
    </row>
    <row r="47" spans="1:7" ht="21.95" customHeight="1" x14ac:dyDescent="0.3">
      <c r="A47" s="619"/>
      <c r="B47" s="210" t="s">
        <v>340</v>
      </c>
      <c r="C47" s="367" t="str">
        <f>VLOOKUP(B47,Tableau12[],8,FALSE)</f>
        <v>Redecan</v>
      </c>
      <c r="D47" s="214">
        <f>VLOOKUP(B47,Tableau12[],11,FALSE)</f>
        <v>140.1</v>
      </c>
      <c r="E47" s="215">
        <v>0.28999999999999998</v>
      </c>
      <c r="F47" s="215" t="s">
        <v>87</v>
      </c>
      <c r="G47" s="365" t="str">
        <f>VLOOKUP(B47,Tableau12[],4,FALSE)</f>
        <v>-</v>
      </c>
    </row>
    <row r="48" spans="1:7" ht="21.95" customHeight="1" x14ac:dyDescent="0.3">
      <c r="A48" s="619"/>
      <c r="B48" s="210" t="s">
        <v>345</v>
      </c>
      <c r="C48" s="367" t="str">
        <f>VLOOKUP(B48,Tableau12[],8,FALSE)</f>
        <v>Simply Bare</v>
      </c>
      <c r="D48" s="214">
        <f>VLOOKUP(B48,Tableau12[],11,FALSE)</f>
        <v>225</v>
      </c>
      <c r="E48" s="215">
        <v>0.27</v>
      </c>
      <c r="F48" s="215" t="s">
        <v>87</v>
      </c>
      <c r="G48" s="365" t="str">
        <f>VLOOKUP(B48,Tableau12[],4,FALSE)</f>
        <v>-</v>
      </c>
    </row>
    <row r="49" spans="1:7" ht="21.95" customHeight="1" x14ac:dyDescent="0.3">
      <c r="A49" s="619"/>
      <c r="B49" s="210" t="s">
        <v>151</v>
      </c>
      <c r="C49" s="367" t="str">
        <f>VLOOKUP(B49,Tableau12[],8,FALSE)</f>
        <v>Promenade</v>
      </c>
      <c r="D49" s="214">
        <f>VLOOKUP(B49,Tableau12[],11,FALSE)</f>
        <v>125.8</v>
      </c>
      <c r="E49" s="215">
        <v>0.26</v>
      </c>
      <c r="F49" s="215" t="s">
        <v>87</v>
      </c>
      <c r="G49" s="365" t="str">
        <f>VLOOKUP(B49,Tableau12[],4,FALSE)</f>
        <v>-</v>
      </c>
    </row>
    <row r="50" spans="1:7" ht="21.95" customHeight="1" x14ac:dyDescent="0.3">
      <c r="A50" s="619"/>
      <c r="B50" s="210" t="s">
        <v>152</v>
      </c>
      <c r="C50" s="367" t="str">
        <f>VLOOKUP(B50,Tableau12[],8,FALSE)</f>
        <v>Nugz</v>
      </c>
      <c r="D50" s="214">
        <f>VLOOKUP(B50,Tableau12[],11,FALSE)</f>
        <v>153</v>
      </c>
      <c r="E50" s="215">
        <v>0.25</v>
      </c>
      <c r="F50" s="215" t="s">
        <v>87</v>
      </c>
      <c r="G50" s="365" t="str">
        <f>VLOOKUP(B50,Tableau12[],4,FALSE)</f>
        <v>Qc</v>
      </c>
    </row>
    <row r="51" spans="1:7" ht="25.5" customHeight="1" x14ac:dyDescent="0.3">
      <c r="A51" s="619"/>
      <c r="B51" s="210" t="s">
        <v>154</v>
      </c>
      <c r="C51" s="367" t="str">
        <f>VLOOKUP(B51,Tableau12[],8,FALSE)</f>
        <v>Big Bag O' Buds</v>
      </c>
      <c r="D51" s="214">
        <f>VLOOKUP(B51,Tableau12[],11,FALSE)</f>
        <v>140.19999999999999</v>
      </c>
      <c r="E51" s="215">
        <v>0.25</v>
      </c>
      <c r="F51" s="215" t="s">
        <v>87</v>
      </c>
      <c r="G51" s="365" t="str">
        <f>VLOOKUP(B51,Tableau12[],4,FALSE)</f>
        <v>-</v>
      </c>
    </row>
    <row r="52" spans="1:7" ht="25.5" customHeight="1" x14ac:dyDescent="0.3">
      <c r="A52" s="619"/>
      <c r="B52" s="210" t="s">
        <v>155</v>
      </c>
      <c r="C52" s="367" t="str">
        <f>VLOOKUP(B52,Tableau12[],8,FALSE)</f>
        <v>Good Supply</v>
      </c>
      <c r="D52" s="214">
        <f>VLOOKUP(B52,Tableau12[],11,FALSE)</f>
        <v>125.8</v>
      </c>
      <c r="E52" s="215">
        <v>0.24</v>
      </c>
      <c r="F52" s="215" t="s">
        <v>87</v>
      </c>
      <c r="G52" s="365" t="str">
        <f>VLOOKUP(B52,Tableau12[],4,FALSE)</f>
        <v>-</v>
      </c>
    </row>
    <row r="53" spans="1:7" ht="25.5" customHeight="1" x14ac:dyDescent="0.3">
      <c r="A53" s="619"/>
      <c r="B53" s="210" t="s">
        <v>1047</v>
      </c>
      <c r="C53" s="367" t="str">
        <f>VLOOKUP(B53,Tableau12[],8,FALSE)</f>
        <v>OMY</v>
      </c>
      <c r="D53" s="214">
        <f>VLOOKUP(B53,Tableau12[],11,FALSE)</f>
        <v>135.6</v>
      </c>
      <c r="E53" s="215">
        <v>0.24</v>
      </c>
      <c r="F53" s="215" t="s">
        <v>87</v>
      </c>
      <c r="G53" s="365" t="str">
        <f>VLOOKUP(B53,Tableau12[],4,FALSE)</f>
        <v>Qc</v>
      </c>
    </row>
    <row r="54" spans="1:7" ht="25.5" customHeight="1" x14ac:dyDescent="0.3">
      <c r="A54" s="619"/>
      <c r="B54" s="210" t="s">
        <v>337</v>
      </c>
      <c r="C54" s="367" t="str">
        <f>VLOOKUP(B54,Tableau12[],8,FALSE)</f>
        <v>Palmetto</v>
      </c>
      <c r="D54" s="214">
        <f>VLOOKUP(B54,Tableau12[],11,FALSE)</f>
        <v>132</v>
      </c>
      <c r="E54" s="215">
        <v>0.23</v>
      </c>
      <c r="F54" s="215" t="s">
        <v>87</v>
      </c>
      <c r="G54" s="365" t="str">
        <f>VLOOKUP(B54,Tableau12[],4,FALSE)</f>
        <v>-</v>
      </c>
    </row>
    <row r="55" spans="1:7" ht="25.5" customHeight="1" x14ac:dyDescent="0.3">
      <c r="A55" s="619"/>
      <c r="B55" s="210" t="s">
        <v>156</v>
      </c>
      <c r="C55" s="367" t="str">
        <f>VLOOKUP(B55,Tableau12[],8,FALSE)</f>
        <v>Big Bag O' Buds</v>
      </c>
      <c r="D55" s="214">
        <f>VLOOKUP(B55,Tableau12[],11,FALSE)</f>
        <v>99.9</v>
      </c>
      <c r="E55" s="215">
        <v>0.19</v>
      </c>
      <c r="F55" s="215" t="s">
        <v>87</v>
      </c>
      <c r="G55" s="365" t="str">
        <f>VLOOKUP(B55,Tableau12[],4,FALSE)</f>
        <v>-</v>
      </c>
    </row>
    <row r="56" spans="1:7" ht="25.5" customHeight="1" x14ac:dyDescent="0.3">
      <c r="A56" s="619"/>
      <c r="B56" s="210" t="s">
        <v>1051</v>
      </c>
      <c r="C56" s="367" t="str">
        <f>VLOOKUP(B56,Tableau12[],8,FALSE)</f>
        <v>Wô Là</v>
      </c>
      <c r="D56" s="214">
        <f>VLOOKUP(B56,Tableau12[],11,FALSE)</f>
        <v>130.19999999999999</v>
      </c>
      <c r="E56" s="215">
        <v>0.19</v>
      </c>
      <c r="F56" s="215" t="s">
        <v>87</v>
      </c>
      <c r="G56" s="365" t="str">
        <f>VLOOKUP(B56,Tableau12[],4,FALSE)</f>
        <v>-</v>
      </c>
    </row>
    <row r="57" spans="1:7" ht="25.5" customHeight="1" thickBot="1" x14ac:dyDescent="0.35">
      <c r="A57" s="620"/>
      <c r="B57" s="210" t="s">
        <v>157</v>
      </c>
      <c r="C57" s="367" t="str">
        <f>VLOOKUP(B57,Tableau12[],8,FALSE)</f>
        <v>Bleuh Light</v>
      </c>
      <c r="D57" s="214">
        <f>VLOOKUP(B57,Tableau12[],11,FALSE)</f>
        <v>130.19999999999999</v>
      </c>
      <c r="E57" s="215">
        <v>0</v>
      </c>
      <c r="F57" s="215">
        <v>0.2</v>
      </c>
      <c r="G57" s="365" t="str">
        <f>VLOOKUP(B57,Tableau12[],4,FALSE)</f>
        <v>Qc</v>
      </c>
    </row>
    <row r="58" spans="1:7" ht="8.25" customHeight="1" thickBot="1" x14ac:dyDescent="0.35">
      <c r="A58" s="7"/>
      <c r="B58" s="320"/>
      <c r="C58" s="368"/>
      <c r="D58" s="321"/>
      <c r="E58" s="322"/>
      <c r="F58" s="322"/>
      <c r="G58" s="379" t="str">
        <f>IFERROR(VLOOKUP(B58,#REF!,4,0),"")</f>
        <v/>
      </c>
    </row>
    <row r="59" spans="1:7" ht="8.25" hidden="1" customHeight="1" thickBot="1" x14ac:dyDescent="0.35">
      <c r="A59" s="7"/>
      <c r="B59" s="264" t="s">
        <v>158</v>
      </c>
      <c r="C59" s="369" t="s">
        <v>4</v>
      </c>
      <c r="D59" s="265" t="s">
        <v>6</v>
      </c>
      <c r="E59" s="266" t="s">
        <v>40</v>
      </c>
      <c r="F59" s="267" t="s">
        <v>41</v>
      </c>
      <c r="G59" s="380" t="s">
        <v>136</v>
      </c>
    </row>
    <row r="60" spans="1:7" ht="25.5" customHeight="1" x14ac:dyDescent="0.3">
      <c r="A60" s="618" t="s">
        <v>137</v>
      </c>
      <c r="B60" s="504" t="s">
        <v>159</v>
      </c>
      <c r="C60" s="370" t="str">
        <f>VLOOKUP(B60,Tableau11[],8,FALSE)</f>
        <v>Green Joy</v>
      </c>
      <c r="D60" s="211">
        <f>VLOOKUP(B60,Tableau11[],11,FALSE)</f>
        <v>179</v>
      </c>
      <c r="E60" s="212">
        <v>0.28000000000000003</v>
      </c>
      <c r="F60" s="212" t="s">
        <v>87</v>
      </c>
      <c r="G60" s="370" t="str">
        <f>VLOOKUP(B60,Tableau11[],4,FALSE)</f>
        <v>-</v>
      </c>
    </row>
    <row r="61" spans="1:7" ht="25.5" customHeight="1" x14ac:dyDescent="0.3">
      <c r="A61" s="619"/>
      <c r="B61" s="504" t="s">
        <v>161</v>
      </c>
      <c r="C61" s="370" t="str">
        <f>VLOOKUP(B61,Tableau11[],8,FALSE)</f>
        <v>Highly Dutch Organic</v>
      </c>
      <c r="D61" s="211">
        <f>VLOOKUP(B61,Tableau11[],11,FALSE)</f>
        <v>147.30000000000001</v>
      </c>
      <c r="E61" s="212">
        <v>0.28000000000000003</v>
      </c>
      <c r="F61" s="212" t="s">
        <v>87</v>
      </c>
      <c r="G61" s="370" t="str">
        <f>VLOOKUP(B61,Tableau11[],4,FALSE)</f>
        <v>-</v>
      </c>
    </row>
    <row r="62" spans="1:7" ht="25.5" customHeight="1" x14ac:dyDescent="0.3">
      <c r="A62" s="619"/>
      <c r="B62" s="504" t="s">
        <v>160</v>
      </c>
      <c r="C62" s="370" t="str">
        <f>VLOOKUP(B62,Tableau11[],8,FALSE)</f>
        <v>Wô Là</v>
      </c>
      <c r="D62" s="211">
        <f>VLOOKUP(B62,Tableau11[],11,FALSE)</f>
        <v>130.19999999999999</v>
      </c>
      <c r="E62" s="212">
        <v>0.28000000000000003</v>
      </c>
      <c r="F62" s="212"/>
      <c r="G62" s="370" t="str">
        <f>VLOOKUP(B62,Tableau11[],4,FALSE)</f>
        <v>-</v>
      </c>
    </row>
    <row r="63" spans="1:7" ht="25.5" customHeight="1" x14ac:dyDescent="0.3">
      <c r="A63" s="619"/>
      <c r="B63" s="504" t="s">
        <v>314</v>
      </c>
      <c r="C63" s="370" t="str">
        <f>VLOOKUP(B63,Tableau11[],8,FALSE)</f>
        <v>Spinach</v>
      </c>
      <c r="D63" s="211">
        <f>VLOOKUP(B63,Tableau11[],11,FALSE)</f>
        <v>130.19999999999999</v>
      </c>
      <c r="E63" s="212">
        <v>0.27</v>
      </c>
      <c r="F63" s="212" t="s">
        <v>87</v>
      </c>
      <c r="G63" s="370" t="str">
        <f>VLOOKUP(B63,Tableau11[],4,FALSE)</f>
        <v>-</v>
      </c>
    </row>
    <row r="64" spans="1:7" ht="25.5" customHeight="1" x14ac:dyDescent="0.3">
      <c r="A64" s="619"/>
      <c r="B64" s="504" t="s">
        <v>287</v>
      </c>
      <c r="C64" s="370" t="str">
        <f>VLOOKUP(B64,Tableau11[],8,FALSE)</f>
        <v>Original Stash</v>
      </c>
      <c r="D64" s="211">
        <f>VLOOKUP(B64,Tableau11[],11,FALSE)</f>
        <v>140.4</v>
      </c>
      <c r="E64" s="212">
        <v>0.27</v>
      </c>
      <c r="F64" s="212" t="s">
        <v>87</v>
      </c>
      <c r="G64" s="370" t="str">
        <f>VLOOKUP(B64,Tableau11[],4,FALSE)</f>
        <v>-</v>
      </c>
    </row>
    <row r="65" spans="1:7" ht="25.5" customHeight="1" x14ac:dyDescent="0.3">
      <c r="A65" s="619"/>
      <c r="B65" s="504" t="s">
        <v>163</v>
      </c>
      <c r="C65" s="370" t="str">
        <f>VLOOKUP(B65,Tableau11[],8,FALSE)</f>
        <v>Nugz</v>
      </c>
      <c r="D65" s="211">
        <f>VLOOKUP(B65,Tableau11[],11,FALSE)</f>
        <v>153</v>
      </c>
      <c r="E65" s="212">
        <v>0.25</v>
      </c>
      <c r="F65" s="212" t="s">
        <v>87</v>
      </c>
      <c r="G65" s="370" t="str">
        <f>VLOOKUP(B65,Tableau11[],4,FALSE)</f>
        <v>Qc</v>
      </c>
    </row>
    <row r="66" spans="1:7" ht="25.5" customHeight="1" x14ac:dyDescent="0.3">
      <c r="A66" s="619"/>
      <c r="B66" s="504" t="s">
        <v>164</v>
      </c>
      <c r="C66" s="370" t="str">
        <f>VLOOKUP(B66,Tableau11[],8,FALSE)</f>
        <v>Original Stash</v>
      </c>
      <c r="D66" s="211">
        <f>VLOOKUP(B66,Tableau11[],11,FALSE)</f>
        <v>134.9</v>
      </c>
      <c r="E66" s="212">
        <v>0.24</v>
      </c>
      <c r="F66" s="542" t="s">
        <v>87</v>
      </c>
      <c r="G66" s="370" t="str">
        <f>VLOOKUP(B66,Tableau11[],4,FALSE)</f>
        <v>Qc</v>
      </c>
    </row>
    <row r="67" spans="1:7" ht="25.5" customHeight="1" x14ac:dyDescent="0.3">
      <c r="A67" s="619"/>
      <c r="B67" s="504" t="s">
        <v>162</v>
      </c>
      <c r="C67" s="370" t="str">
        <f>VLOOKUP(B67,Tableau11[],8,FALSE)</f>
        <v>La Batch</v>
      </c>
      <c r="D67" s="211">
        <f>VLOOKUP(B67,Tableau11[],11,FALSE)</f>
        <v>135.6</v>
      </c>
      <c r="E67" s="212">
        <v>0.24</v>
      </c>
      <c r="F67" s="542" t="s">
        <v>87</v>
      </c>
      <c r="G67" s="370" t="str">
        <f>VLOOKUP(B67,Tableau11[],4,FALSE)</f>
        <v>-</v>
      </c>
    </row>
    <row r="68" spans="1:7" ht="25.5" customHeight="1" thickBot="1" x14ac:dyDescent="0.35">
      <c r="A68" s="620"/>
      <c r="B68" s="540" t="s">
        <v>1041</v>
      </c>
      <c r="C68" s="449" t="str">
        <f>VLOOKUP(B68,Tableau11[],8,FALSE)</f>
        <v>Original Stash</v>
      </c>
      <c r="D68" s="541">
        <f>VLOOKUP(B68,Tableau11[],11,FALSE)</f>
        <v>125.7</v>
      </c>
      <c r="E68" s="451">
        <v>0.23</v>
      </c>
      <c r="F68" s="451" t="s">
        <v>87</v>
      </c>
      <c r="G68" s="449" t="str">
        <f>VLOOKUP(B68,Tableau11[],4,FALSE)</f>
        <v>-</v>
      </c>
    </row>
    <row r="69" spans="1:7" ht="8.25" customHeight="1" thickBot="1" x14ac:dyDescent="0.35">
      <c r="A69" s="204"/>
      <c r="B69" s="204"/>
      <c r="C69" s="362"/>
      <c r="D69" s="202"/>
      <c r="E69" s="203"/>
      <c r="F69" s="203"/>
      <c r="G69" s="381" t="str">
        <f>IFERROR(VLOOKUP(B69,#REF!,4,0),"")</f>
        <v/>
      </c>
    </row>
    <row r="70" spans="1:7" ht="21.75" hidden="1" customHeight="1" thickBot="1" x14ac:dyDescent="0.35">
      <c r="A70" s="204"/>
      <c r="B70" s="453" t="s">
        <v>158</v>
      </c>
      <c r="C70" s="454" t="s">
        <v>4</v>
      </c>
      <c r="D70" s="455" t="s">
        <v>6</v>
      </c>
      <c r="E70" s="456" t="s">
        <v>40</v>
      </c>
      <c r="F70" s="457" t="s">
        <v>41</v>
      </c>
      <c r="G70" s="458" t="s">
        <v>136</v>
      </c>
    </row>
    <row r="71" spans="1:7" ht="26.25" customHeight="1" x14ac:dyDescent="0.3">
      <c r="A71" s="611" t="s">
        <v>142</v>
      </c>
      <c r="B71" s="486" t="s">
        <v>1044</v>
      </c>
      <c r="C71" s="565" t="str">
        <f>VLOOKUP(B71,Tableau13[],8,FALSE)</f>
        <v>Tam Tams</v>
      </c>
      <c r="D71" s="566">
        <f>VLOOKUP(B71,Tableau13[],11,FALSE)</f>
        <v>140</v>
      </c>
      <c r="E71" s="567">
        <v>0.28000000000000003</v>
      </c>
      <c r="F71" s="568" t="s">
        <v>87</v>
      </c>
      <c r="G71" s="565" t="str">
        <f>VLOOKUP(B71,Tableau13[],4,FALSE)</f>
        <v>Qc</v>
      </c>
    </row>
    <row r="72" spans="1:7" ht="26.25" customHeight="1" x14ac:dyDescent="0.3">
      <c r="A72" s="612"/>
      <c r="B72" s="219" t="s">
        <v>1046</v>
      </c>
      <c r="C72" s="370" t="str">
        <f>VLOOKUP(B72,Tableau13[],8,FALSE)</f>
        <v>Highly Dutch Organic</v>
      </c>
      <c r="D72" s="241">
        <f>VLOOKUP(B72,Tableau13[],11,FALSE)</f>
        <v>147.30000000000001</v>
      </c>
      <c r="E72" s="212">
        <v>0.27</v>
      </c>
      <c r="F72" s="216" t="s">
        <v>87</v>
      </c>
      <c r="G72" s="370" t="str">
        <f>VLOOKUP(B72,Tableau13[],4,FALSE)</f>
        <v>-</v>
      </c>
    </row>
    <row r="73" spans="1:7" ht="26.25" customHeight="1" x14ac:dyDescent="0.3">
      <c r="A73" s="612"/>
      <c r="B73" s="219" t="s">
        <v>1048</v>
      </c>
      <c r="C73" s="370" t="str">
        <f>VLOOKUP(B73,Tableau13[],8,FALSE)</f>
        <v>Pure Laine Cannabis</v>
      </c>
      <c r="D73" s="241">
        <f>VLOOKUP(B73,Tableau13[],11,FALSE)</f>
        <v>129.80000000000001</v>
      </c>
      <c r="E73" s="212">
        <v>0.27</v>
      </c>
      <c r="F73" s="216" t="s">
        <v>87</v>
      </c>
      <c r="G73" s="370" t="str">
        <f>VLOOKUP(B73,Tableau13[],4,FALSE)</f>
        <v>-</v>
      </c>
    </row>
    <row r="74" spans="1:7" ht="26.25" customHeight="1" x14ac:dyDescent="0.3">
      <c r="A74" s="612"/>
      <c r="B74" s="219" t="s">
        <v>1033</v>
      </c>
      <c r="C74" s="370" t="str">
        <f>VLOOKUP(B74,Tableau13[],8,FALSE)</f>
        <v>Fleurs de Lise</v>
      </c>
      <c r="D74" s="241">
        <f>VLOOKUP(B74,Tableau13[],11,FALSE)</f>
        <v>150.5</v>
      </c>
      <c r="E74" s="212">
        <v>0.26</v>
      </c>
      <c r="F74" s="216" t="s">
        <v>87</v>
      </c>
      <c r="G74" s="370" t="str">
        <f>VLOOKUP(B74,Tableau13[],4,FALSE)</f>
        <v>Qc</v>
      </c>
    </row>
    <row r="75" spans="1:7" ht="26.25" customHeight="1" x14ac:dyDescent="0.3">
      <c r="A75" s="612"/>
      <c r="B75" s="219" t="s">
        <v>1026</v>
      </c>
      <c r="C75" s="370" t="str">
        <f>VLOOKUP(B75,Tableau13[],8,FALSE)</f>
        <v>Culture Chloris</v>
      </c>
      <c r="D75" s="211">
        <f>VLOOKUP(B75,Tableau13[],11,FALSE)</f>
        <v>161</v>
      </c>
      <c r="E75" s="212">
        <v>0.26</v>
      </c>
      <c r="F75" s="215" t="s">
        <v>87</v>
      </c>
      <c r="G75" s="370" t="str">
        <f>VLOOKUP(B75,Tableau13[],4,FALSE)</f>
        <v>-</v>
      </c>
    </row>
    <row r="76" spans="1:7" ht="26.25" customHeight="1" x14ac:dyDescent="0.3">
      <c r="A76" s="612"/>
      <c r="B76" s="219" t="s">
        <v>166</v>
      </c>
      <c r="C76" s="370">
        <f>VLOOKUP(B76,Tableau13[],8,FALSE)</f>
        <v>1964</v>
      </c>
      <c r="D76" s="241">
        <f>VLOOKUP(B76,Tableau13[],11,FALSE)</f>
        <v>174.9</v>
      </c>
      <c r="E76" s="212">
        <v>0.26</v>
      </c>
      <c r="F76" s="216" t="s">
        <v>87</v>
      </c>
      <c r="G76" s="370" t="str">
        <f>VLOOKUP(B76,Tableau13[],4,FALSE)</f>
        <v>-</v>
      </c>
    </row>
    <row r="77" spans="1:7" ht="26.25" customHeight="1" x14ac:dyDescent="0.3">
      <c r="A77" s="612"/>
      <c r="B77" s="219" t="s">
        <v>165</v>
      </c>
      <c r="C77" s="360" t="str">
        <f>VLOOKUP(B77,Tableau13[],8,FALSE)</f>
        <v>DLYS</v>
      </c>
      <c r="D77" s="488">
        <f>VLOOKUP(B77,Tableau13[],11,FALSE)</f>
        <v>154.9</v>
      </c>
      <c r="E77" s="318">
        <v>0.26</v>
      </c>
      <c r="F77" s="216" t="s">
        <v>87</v>
      </c>
      <c r="G77" s="360" t="str">
        <f>VLOOKUP(B77,Tableau13[],4,FALSE)</f>
        <v>Qc</v>
      </c>
    </row>
    <row r="78" spans="1:7" ht="26.25" customHeight="1" x14ac:dyDescent="0.3">
      <c r="A78" s="612"/>
      <c r="B78" s="517">
        <v>1993</v>
      </c>
      <c r="C78" s="370" t="str">
        <f>VLOOKUP(B78,Tableau13[],8,FALSE)</f>
        <v>Fleurons</v>
      </c>
      <c r="D78" s="241">
        <f>VLOOKUP(B78,Tableau13[],11,FALSE)</f>
        <v>133</v>
      </c>
      <c r="E78" s="212">
        <v>0.25</v>
      </c>
      <c r="F78" s="216" t="s">
        <v>87</v>
      </c>
      <c r="G78" s="370" t="str">
        <f>VLOOKUP(B78,Tableau13[],4,FALSE)</f>
        <v>Qc</v>
      </c>
    </row>
    <row r="79" spans="1:7" ht="26.25" customHeight="1" x14ac:dyDescent="0.3">
      <c r="A79" s="612"/>
      <c r="B79" s="219" t="s">
        <v>1025</v>
      </c>
      <c r="C79" s="370" t="str">
        <f>VLOOKUP(B79,Tableau13[],8,FALSE)</f>
        <v>Nugz</v>
      </c>
      <c r="D79" s="241">
        <f>VLOOKUP(B79,Tableau13[],11,FALSE)</f>
        <v>140</v>
      </c>
      <c r="E79" s="212">
        <v>0.24</v>
      </c>
      <c r="F79" s="212" t="s">
        <v>87</v>
      </c>
      <c r="G79" s="370" t="str">
        <f>VLOOKUP(B79,Tableau13[],4,FALSE)</f>
        <v>Qc</v>
      </c>
    </row>
    <row r="80" spans="1:7" ht="25.5" customHeight="1" x14ac:dyDescent="0.3">
      <c r="A80" s="612"/>
      <c r="B80" s="219" t="s">
        <v>168</v>
      </c>
      <c r="C80" s="367" t="str">
        <f>VLOOKUP(B80,Tableau13[],8,FALSE)</f>
        <v>Original Stash</v>
      </c>
      <c r="D80" s="416">
        <f>VLOOKUP(B80,Tableau13[],11,FALSE)</f>
        <v>159.1</v>
      </c>
      <c r="E80" s="212">
        <v>0.24</v>
      </c>
      <c r="F80" s="216" t="s">
        <v>87</v>
      </c>
      <c r="G80" s="367" t="str">
        <f>VLOOKUP(B80,Tableau13[],4,FALSE)</f>
        <v>-</v>
      </c>
    </row>
    <row r="81" spans="1:7" ht="25.5" customHeight="1" x14ac:dyDescent="0.3">
      <c r="A81" s="612"/>
      <c r="B81" s="219" t="s">
        <v>170</v>
      </c>
      <c r="C81" s="367" t="str">
        <f>VLOOKUP(B81,Tableau13[],8,FALSE)</f>
        <v>Fleur de Lise</v>
      </c>
      <c r="D81" s="416">
        <f>VLOOKUP(B81,Tableau13[],11,FALSE)</f>
        <v>109.9</v>
      </c>
      <c r="E81" s="212">
        <v>0.22</v>
      </c>
      <c r="F81" s="216" t="s">
        <v>87</v>
      </c>
      <c r="G81" s="367" t="str">
        <f>VLOOKUP(B81,Tableau13[],4,FALSE)</f>
        <v>Qc</v>
      </c>
    </row>
    <row r="82" spans="1:7" ht="25.5" customHeight="1" x14ac:dyDescent="0.3">
      <c r="A82" s="612"/>
      <c r="B82" s="219" t="s">
        <v>167</v>
      </c>
      <c r="C82" s="367" t="str">
        <f>VLOOKUP(B82,Tableau13[],8,FALSE)</f>
        <v>Tweed</v>
      </c>
      <c r="D82" s="416">
        <f>VLOOKUP(B82,Tableau13[],11,FALSE)</f>
        <v>141.4</v>
      </c>
      <c r="E82" s="212">
        <v>0.22</v>
      </c>
      <c r="F82" s="543" t="s">
        <v>87</v>
      </c>
      <c r="G82" s="367" t="str">
        <f>VLOOKUP(B82,Tableau13[],4,FALSE)</f>
        <v>-</v>
      </c>
    </row>
    <row r="83" spans="1:7" ht="25.5" customHeight="1" x14ac:dyDescent="0.3">
      <c r="A83" s="612"/>
      <c r="B83" s="219" t="s">
        <v>169</v>
      </c>
      <c r="C83" s="367" t="str">
        <f>VLOOKUP(B83,Tableau13[],8,FALSE)</f>
        <v>Bake Sale</v>
      </c>
      <c r="D83" s="416">
        <f>VLOOKUP(B83,Tableau13[],11,FALSE)</f>
        <v>89.9</v>
      </c>
      <c r="E83" s="212">
        <v>0.2</v>
      </c>
      <c r="F83" s="212" t="s">
        <v>87</v>
      </c>
      <c r="G83" s="367" t="str">
        <f>VLOOKUP(B83,Tableau13[],4,FALSE)</f>
        <v>Qc</v>
      </c>
    </row>
    <row r="84" spans="1:7" ht="25.5" customHeight="1" x14ac:dyDescent="0.3">
      <c r="A84" s="612"/>
      <c r="B84" s="219" t="s">
        <v>436</v>
      </c>
      <c r="C84" s="367" t="str">
        <f>VLOOKUP(B84,Tableau13[],8,FALSE)</f>
        <v>Vert</v>
      </c>
      <c r="D84" s="416">
        <f>VLOOKUP(B84,Tableau13[],11,FALSE)</f>
        <v>137.9</v>
      </c>
      <c r="E84" s="212">
        <v>0.1</v>
      </c>
      <c r="F84" s="216">
        <v>0.12</v>
      </c>
      <c r="G84" s="367" t="str">
        <f>VLOOKUP(B84,Tableau13[],4,FALSE)</f>
        <v>Qc</v>
      </c>
    </row>
    <row r="85" spans="1:7" ht="25.5" customHeight="1" x14ac:dyDescent="0.3">
      <c r="A85" s="612"/>
      <c r="B85" s="219" t="s">
        <v>171</v>
      </c>
      <c r="C85" s="367" t="str">
        <f>VLOOKUP(B85,Tableau13[],8,FALSE)</f>
        <v>Promenade</v>
      </c>
      <c r="D85" s="416">
        <f>VLOOKUP(B85,Tableau13[],11,FALSE)</f>
        <v>125.8</v>
      </c>
      <c r="E85" s="212">
        <v>0.09</v>
      </c>
      <c r="F85" s="216">
        <v>0.08</v>
      </c>
      <c r="G85" s="367" t="str">
        <f>VLOOKUP(B85,Tableau13[],4,FALSE)</f>
        <v>-</v>
      </c>
    </row>
    <row r="86" spans="1:7" ht="25.5" customHeight="1" thickBot="1" x14ac:dyDescent="0.35">
      <c r="A86" s="613"/>
      <c r="B86" s="470" t="s">
        <v>172</v>
      </c>
      <c r="C86" s="449" t="str">
        <f>VLOOKUP(B86,Tableau13[],8,FALSE)</f>
        <v>T'es Dans L'Champ</v>
      </c>
      <c r="D86" s="450">
        <f>VLOOKUP(B86,Tableau13[],11,FALSE)</f>
        <v>125.5</v>
      </c>
      <c r="E86" s="451">
        <v>0</v>
      </c>
      <c r="F86" s="452">
        <v>0.17</v>
      </c>
      <c r="G86" s="449" t="str">
        <f>VLOOKUP(B86,Tableau13[],4,FALSE)</f>
        <v>Qc</v>
      </c>
    </row>
    <row r="87" spans="1:7" ht="2.25" customHeight="1" x14ac:dyDescent="0.3">
      <c r="A87" s="186"/>
      <c r="B87" s="199"/>
      <c r="C87" s="372"/>
      <c r="D87" s="200"/>
      <c r="E87" s="201"/>
      <c r="F87" s="201"/>
      <c r="G87" s="372"/>
    </row>
    <row r="88" spans="1:7" ht="29.25" customHeight="1" thickBot="1" x14ac:dyDescent="0.35">
      <c r="A88" s="625" t="s">
        <v>173</v>
      </c>
      <c r="B88" s="626"/>
      <c r="C88" s="626"/>
      <c r="D88" s="626"/>
      <c r="E88" s="626"/>
      <c r="F88" s="626"/>
      <c r="G88" s="626"/>
    </row>
    <row r="89" spans="1:7" ht="21.95" customHeight="1" thickBot="1" x14ac:dyDescent="0.35">
      <c r="A89" s="221" t="s">
        <v>5</v>
      </c>
      <c r="B89" s="213" t="s">
        <v>3</v>
      </c>
      <c r="C89" s="373" t="s">
        <v>4</v>
      </c>
      <c r="D89" s="207" t="s">
        <v>6</v>
      </c>
      <c r="E89" s="234" t="s">
        <v>40</v>
      </c>
      <c r="F89" s="248" t="s">
        <v>41</v>
      </c>
      <c r="G89" s="378" t="s">
        <v>136</v>
      </c>
    </row>
    <row r="90" spans="1:7" ht="21.95" customHeight="1" x14ac:dyDescent="0.3">
      <c r="A90" s="222" t="str">
        <f>VLOOKUP(B90,'Base Hash Kiefs'!$A$98:$L$104,10,FALSE)</f>
        <v>1 g</v>
      </c>
      <c r="B90" s="209" t="s">
        <v>174</v>
      </c>
      <c r="C90" s="222" t="str">
        <f>VLOOKUP(B90,'Base Hash Kiefs'!$A$98:$L$104,6,FALSE)</f>
        <v>Clair De Lune</v>
      </c>
      <c r="D90" s="223">
        <f>VLOOKUP(B90,'Base Hash Kiefs'!$A$98:$L$104,12,FALSE)</f>
        <v>14.2</v>
      </c>
      <c r="E90" s="224">
        <v>0.28999999999999998</v>
      </c>
      <c r="F90" s="357" t="s">
        <v>87</v>
      </c>
      <c r="G90" s="382" t="str">
        <f>VLOOKUP(B90,'Base Hash Kiefs'!$A$98:$L$104,2,FALSE)</f>
        <v>-</v>
      </c>
    </row>
    <row r="91" spans="1:7" ht="21.95" customHeight="1" x14ac:dyDescent="0.3">
      <c r="A91" s="222" t="str">
        <f>VLOOKUP(B91,'Base Hash Kiefs'!$A$98:$L$104,10,FALSE)</f>
        <v>1 g</v>
      </c>
      <c r="B91" s="209" t="s">
        <v>938</v>
      </c>
      <c r="C91" s="222" t="str">
        <f>VLOOKUP(B91,'Base Hash Kiefs'!$A$98:$L$104,6,FALSE)</f>
        <v>Original Stash</v>
      </c>
      <c r="D91" s="223">
        <f>VLOOKUP(B91,'Base Hash Kiefs'!$A$98:$L$104,12,FALSE)</f>
        <v>14.9</v>
      </c>
      <c r="E91" s="224">
        <v>0.23</v>
      </c>
      <c r="F91" s="357" t="s">
        <v>87</v>
      </c>
      <c r="G91" s="382" t="str">
        <f>VLOOKUP(B91,'Base Hash Kiefs'!$A$98:$L$104,2,FALSE)</f>
        <v>QC</v>
      </c>
    </row>
    <row r="92" spans="1:7" ht="21.95" customHeight="1" x14ac:dyDescent="0.3">
      <c r="A92" s="222" t="str">
        <f>VLOOKUP(B92,'Base Hash Kiefs'!$A$98:$L$104,10,FALSE)</f>
        <v>3 g</v>
      </c>
      <c r="B92" s="209" t="s">
        <v>175</v>
      </c>
      <c r="C92" s="222" t="str">
        <f>VLOOKUP(B92,'Base Hash Kiefs'!$A$98:$L$104,6,FALSE)</f>
        <v>XK</v>
      </c>
      <c r="D92" s="223">
        <f>VLOOKUP(B92,'Base Hash Kiefs'!$A$98:$L$104,12,FALSE)</f>
        <v>35</v>
      </c>
      <c r="E92" s="224">
        <v>0.28999999999999998</v>
      </c>
      <c r="F92" s="357" t="s">
        <v>87</v>
      </c>
      <c r="G92" s="382" t="str">
        <f>VLOOKUP(B92,'Base Hash Kiefs'!$A$98:$L$104,2,FALSE)</f>
        <v>QC</v>
      </c>
    </row>
    <row r="93" spans="1:7" ht="8.25" customHeight="1" x14ac:dyDescent="0.3">
      <c r="A93" s="225"/>
      <c r="B93" s="220"/>
      <c r="C93" s="220"/>
      <c r="D93" s="226"/>
      <c r="E93" s="198"/>
      <c r="F93" s="252"/>
      <c r="G93" s="220"/>
    </row>
    <row r="94" spans="1:7" ht="29.25" customHeight="1" thickBot="1" x14ac:dyDescent="0.35">
      <c r="A94" s="625" t="s">
        <v>176</v>
      </c>
      <c r="B94" s="626"/>
      <c r="C94" s="626"/>
      <c r="D94" s="626"/>
      <c r="E94" s="626"/>
      <c r="F94" s="626"/>
      <c r="G94" s="626"/>
    </row>
    <row r="95" spans="1:7" ht="29.25" customHeight="1" thickBot="1" x14ac:dyDescent="0.35">
      <c r="A95" s="221" t="s">
        <v>5</v>
      </c>
      <c r="B95" s="213" t="s">
        <v>3</v>
      </c>
      <c r="C95" s="373" t="s">
        <v>4</v>
      </c>
      <c r="D95" s="205" t="s">
        <v>6</v>
      </c>
      <c r="E95" s="234" t="s">
        <v>40</v>
      </c>
      <c r="F95" s="248" t="s">
        <v>41</v>
      </c>
      <c r="G95" s="378" t="s">
        <v>136</v>
      </c>
    </row>
    <row r="96" spans="1:7" ht="21.95" customHeight="1" x14ac:dyDescent="0.3">
      <c r="A96" s="222" t="str">
        <f>VLOOKUP(B96,concentrés[],11,FALSE)</f>
        <v>1 g</v>
      </c>
      <c r="B96" s="209" t="s">
        <v>180</v>
      </c>
      <c r="C96" s="222" t="str">
        <f>VLOOKUP(B96,concentrés[],5,FALSE)</f>
        <v>XK</v>
      </c>
      <c r="D96" s="223">
        <f>VLOOKUP(B96,concentrés[],12,FALSE)</f>
        <v>28.9</v>
      </c>
      <c r="E96" s="224">
        <v>0.3</v>
      </c>
      <c r="F96" s="224">
        <v>0.56999999999999995</v>
      </c>
      <c r="G96" s="382" t="s">
        <v>87</v>
      </c>
    </row>
    <row r="97" spans="1:7" ht="21.95" customHeight="1" x14ac:dyDescent="0.3">
      <c r="A97" s="222" t="str">
        <f>VLOOKUP(B97,concentrés[],11,FALSE)</f>
        <v>1 g</v>
      </c>
      <c r="B97" s="209" t="s">
        <v>179</v>
      </c>
      <c r="C97" s="222" t="str">
        <f>VLOOKUP(B97,concentrés[],5,FALSE)</f>
        <v>Tribal</v>
      </c>
      <c r="D97" s="223">
        <f>VLOOKUP(B97,concentrés[],12,FALSE)</f>
        <v>29.8</v>
      </c>
      <c r="E97" s="224">
        <v>0.28999999999999998</v>
      </c>
      <c r="F97" s="224">
        <v>0.64</v>
      </c>
      <c r="G97" s="382" t="s">
        <v>87</v>
      </c>
    </row>
    <row r="98" spans="1:7" ht="21.95" customHeight="1" x14ac:dyDescent="0.3">
      <c r="A98" s="222" t="str">
        <f>VLOOKUP(B98,concentrés[],11,FALSE)</f>
        <v>1 g</v>
      </c>
      <c r="B98" s="209" t="s">
        <v>1004</v>
      </c>
      <c r="C98" s="222" t="str">
        <f>VLOOKUP(B98,concentrés[],5,FALSE)</f>
        <v>San Rafael '71</v>
      </c>
      <c r="D98" s="223">
        <f>VLOOKUP(B98,concentrés[],12,FALSE)</f>
        <v>35</v>
      </c>
      <c r="E98" s="224">
        <v>0.28000000000000003</v>
      </c>
      <c r="F98" s="224">
        <v>0.49</v>
      </c>
      <c r="G98" s="382" t="s">
        <v>87</v>
      </c>
    </row>
    <row r="99" spans="1:7" ht="21.95" customHeight="1" x14ac:dyDescent="0.3">
      <c r="A99" s="222" t="str">
        <f>VLOOKUP(B99,concentrés[],11,FALSE)</f>
        <v>1 g</v>
      </c>
      <c r="B99" s="209" t="s">
        <v>1009</v>
      </c>
      <c r="C99" s="222" t="str">
        <f>VLOOKUP(B99,concentrés[],5,FALSE)</f>
        <v>Roilty</v>
      </c>
      <c r="D99" s="223">
        <f>VLOOKUP(B99,concentrés[],12,FALSE)</f>
        <v>27.3</v>
      </c>
      <c r="E99" s="224">
        <v>0.27</v>
      </c>
      <c r="F99" s="224">
        <v>0.6</v>
      </c>
      <c r="G99" s="382" t="e">
        <f>VLOOKUP(B99,Tableau19[],12,FALSE)</f>
        <v>#N/A</v>
      </c>
    </row>
    <row r="100" spans="1:7" ht="21.95" customHeight="1" x14ac:dyDescent="0.3">
      <c r="A100" s="222" t="str">
        <f>VLOOKUP(B100,concentrés[],11,FALSE)</f>
        <v>1 g</v>
      </c>
      <c r="B100" s="209" t="s">
        <v>178</v>
      </c>
      <c r="C100" s="222" t="str">
        <f>VLOOKUP(B100,concentrés[],5,FALSE)</f>
        <v>Nugz</v>
      </c>
      <c r="D100" s="223">
        <f>VLOOKUP(B100,concentrés[],12,FALSE)</f>
        <v>25.2</v>
      </c>
      <c r="E100" s="224">
        <v>0.27</v>
      </c>
      <c r="F100" s="224">
        <v>0.6</v>
      </c>
      <c r="G100" s="382" t="s">
        <v>87</v>
      </c>
    </row>
    <row r="101" spans="1:7" ht="21.95" customHeight="1" x14ac:dyDescent="0.3">
      <c r="A101" s="222" t="str">
        <f>VLOOKUP(B101,concentrés[],11,FALSE)</f>
        <v>1 g</v>
      </c>
      <c r="B101" s="209" t="s">
        <v>177</v>
      </c>
      <c r="C101" s="222" t="str">
        <f>VLOOKUP(B101,concentrés[],5,FALSE)</f>
        <v xml:space="preserve">Greyscales </v>
      </c>
      <c r="D101" s="223">
        <f>VLOOKUP(B101,concentrés[],12,FALSE)</f>
        <v>32</v>
      </c>
      <c r="E101" s="224">
        <v>0.26</v>
      </c>
      <c r="F101" s="224">
        <v>0.47</v>
      </c>
      <c r="G101" s="382" t="s">
        <v>87</v>
      </c>
    </row>
    <row r="102" spans="1:7" ht="21.95" customHeight="1" x14ac:dyDescent="0.3">
      <c r="A102" s="222" t="str">
        <f>VLOOKUP(B102,concentrés[],11,FALSE)</f>
        <v>1 g</v>
      </c>
      <c r="B102" s="209" t="s">
        <v>1042</v>
      </c>
      <c r="C102" s="222" t="str">
        <f>VLOOKUP(B102,concentrés[],5,FALSE)</f>
        <v>Roilty</v>
      </c>
      <c r="D102" s="223">
        <f>VLOOKUP(B102,concentrés[],12,FALSE)</f>
        <v>27.3</v>
      </c>
      <c r="E102" s="224">
        <v>0.26</v>
      </c>
      <c r="F102" s="224">
        <v>0.62</v>
      </c>
      <c r="G102" s="382" t="s">
        <v>87</v>
      </c>
    </row>
    <row r="103" spans="1:7" ht="21.95" customHeight="1" x14ac:dyDescent="0.3">
      <c r="A103" s="187"/>
      <c r="B103" s="188"/>
      <c r="C103" s="187"/>
      <c r="D103" s="189"/>
      <c r="E103" s="190"/>
      <c r="F103" s="190"/>
      <c r="G103" s="187"/>
    </row>
    <row r="104" spans="1:7" ht="24" customHeight="1" x14ac:dyDescent="0.3">
      <c r="A104" s="187"/>
      <c r="B104" s="188"/>
      <c r="C104" s="187"/>
      <c r="D104" s="189"/>
      <c r="E104" s="190"/>
      <c r="F104" s="190"/>
      <c r="G104" s="187"/>
    </row>
    <row r="105" spans="1:7" ht="24" customHeight="1" x14ac:dyDescent="0.3">
      <c r="A105" s="187"/>
      <c r="B105" s="188"/>
      <c r="C105" s="187"/>
      <c r="D105" s="189"/>
      <c r="E105" s="190"/>
      <c r="F105" s="190"/>
      <c r="G105" s="187"/>
    </row>
    <row r="106" spans="1:7" ht="24" customHeight="1" x14ac:dyDescent="0.3">
      <c r="A106" s="187"/>
      <c r="B106" s="188"/>
      <c r="C106" s="187"/>
      <c r="D106" s="189"/>
      <c r="E106" s="190"/>
      <c r="F106" s="190"/>
      <c r="G106" s="187"/>
    </row>
    <row r="107" spans="1:7" ht="19.5" customHeight="1" x14ac:dyDescent="0.3">
      <c r="A107" s="187"/>
      <c r="B107" s="188"/>
      <c r="C107" s="187"/>
      <c r="D107" s="189"/>
      <c r="E107" s="190"/>
      <c r="F107" s="190"/>
      <c r="G107" s="187"/>
    </row>
    <row r="108" spans="1:7" ht="19.5" customHeight="1" x14ac:dyDescent="0.3">
      <c r="A108" s="187"/>
      <c r="B108" s="188"/>
      <c r="C108" s="187"/>
      <c r="D108" s="189"/>
      <c r="E108" s="190"/>
      <c r="F108" s="190"/>
      <c r="G108" s="187"/>
    </row>
    <row r="109" spans="1:7" ht="19.5" customHeight="1" x14ac:dyDescent="0.3">
      <c r="A109" s="187"/>
      <c r="B109" s="188"/>
      <c r="C109" s="187"/>
      <c r="D109" s="189"/>
      <c r="E109" s="190"/>
      <c r="F109" s="190"/>
      <c r="G109" s="187"/>
    </row>
    <row r="110" spans="1:7" ht="19.5" customHeight="1" x14ac:dyDescent="0.3">
      <c r="A110" s="187"/>
      <c r="B110" s="188"/>
      <c r="C110" s="187"/>
      <c r="D110" s="189"/>
      <c r="E110" s="190"/>
      <c r="F110" s="190"/>
      <c r="G110" s="187"/>
    </row>
    <row r="111" spans="1:7" ht="19.5" customHeight="1" x14ac:dyDescent="0.3">
      <c r="A111" s="2"/>
      <c r="B111" s="5"/>
      <c r="C111" s="374"/>
      <c r="D111" s="191"/>
      <c r="E111" s="236"/>
      <c r="F111" s="4"/>
      <c r="G111" s="383"/>
    </row>
    <row r="112" spans="1:7" ht="19.5" customHeight="1" x14ac:dyDescent="0.3">
      <c r="A112" s="614"/>
      <c r="B112" s="614"/>
      <c r="C112" s="614"/>
      <c r="D112" s="614"/>
      <c r="E112" s="614"/>
      <c r="F112" s="614"/>
      <c r="G112" s="614"/>
    </row>
    <row r="113" spans="1:7" ht="19.5" customHeight="1" x14ac:dyDescent="0.3">
      <c r="A113" s="192"/>
      <c r="B113" s="193"/>
      <c r="C113" s="193"/>
      <c r="D113" s="194"/>
      <c r="E113" s="8"/>
      <c r="F113" s="8"/>
      <c r="G113" s="194"/>
    </row>
    <row r="114" spans="1:7" ht="19.5" customHeight="1" x14ac:dyDescent="0.3">
      <c r="A114" s="187"/>
      <c r="B114" s="188"/>
      <c r="C114" s="188"/>
      <c r="D114" s="189"/>
      <c r="E114" s="196"/>
      <c r="F114" s="190"/>
      <c r="G114" s="187"/>
    </row>
    <row r="115" spans="1:7" ht="8.25" customHeight="1" x14ac:dyDescent="0.3">
      <c r="A115" s="187"/>
      <c r="B115" s="188"/>
      <c r="C115" s="187"/>
      <c r="D115" s="189"/>
      <c r="E115" s="196"/>
      <c r="F115" s="190"/>
      <c r="G115" s="187"/>
    </row>
    <row r="116" spans="1:7" ht="39" customHeight="1" x14ac:dyDescent="0.3">
      <c r="A116" s="187"/>
      <c r="B116" s="188"/>
      <c r="C116" s="188"/>
      <c r="D116" s="189"/>
      <c r="E116" s="196"/>
      <c r="F116" s="190"/>
      <c r="G116" s="187"/>
    </row>
    <row r="117" spans="1:7" ht="19.5" customHeight="1" x14ac:dyDescent="0.3">
      <c r="A117" s="187"/>
      <c r="B117" s="188"/>
      <c r="C117" s="188"/>
      <c r="D117" s="189"/>
      <c r="E117" s="196"/>
      <c r="F117" s="190"/>
      <c r="G117" s="187"/>
    </row>
    <row r="118" spans="1:7" ht="19.5" customHeight="1" x14ac:dyDescent="0.3">
      <c r="A118" s="187"/>
      <c r="B118" s="2"/>
      <c r="C118" s="2"/>
      <c r="D118" s="168"/>
      <c r="E118" s="237"/>
      <c r="F118" s="253"/>
      <c r="G118" s="2"/>
    </row>
    <row r="119" spans="1:7" ht="19.5" customHeight="1" x14ac:dyDescent="0.3">
      <c r="A119" s="614"/>
      <c r="B119" s="614"/>
      <c r="C119" s="614"/>
      <c r="D119" s="614"/>
      <c r="E119" s="614"/>
      <c r="F119" s="614"/>
      <c r="G119" s="614"/>
    </row>
    <row r="120" spans="1:7" ht="19.5" customHeight="1" x14ac:dyDescent="0.3">
      <c r="A120" s="192"/>
      <c r="B120" s="193"/>
      <c r="C120" s="193"/>
      <c r="D120" s="195"/>
      <c r="E120" s="8"/>
      <c r="F120" s="8"/>
      <c r="G120" s="194"/>
    </row>
    <row r="121" spans="1:7" ht="19.5" customHeight="1" x14ac:dyDescent="0.3">
      <c r="A121" s="187"/>
      <c r="B121" s="188"/>
      <c r="C121" s="188"/>
      <c r="D121" s="189"/>
      <c r="E121" s="238"/>
      <c r="F121" s="238"/>
      <c r="G121" s="187"/>
    </row>
    <row r="122" spans="1:7" x14ac:dyDescent="0.3">
      <c r="A122" s="187"/>
      <c r="B122" s="188"/>
      <c r="C122" s="188"/>
      <c r="D122" s="197"/>
      <c r="E122" s="196"/>
      <c r="F122" s="190"/>
      <c r="G122" s="187"/>
    </row>
    <row r="123" spans="1:7" ht="39.75" customHeight="1" x14ac:dyDescent="0.3">
      <c r="A123" s="187"/>
      <c r="B123" s="188"/>
      <c r="C123" s="187"/>
      <c r="D123" s="189"/>
      <c r="E123" s="196"/>
      <c r="F123" s="190"/>
      <c r="G123" s="187"/>
    </row>
    <row r="124" spans="1:7" x14ac:dyDescent="0.3">
      <c r="A124" s="187"/>
      <c r="B124" s="188"/>
      <c r="C124" s="188"/>
      <c r="D124" s="189"/>
      <c r="E124" s="196"/>
      <c r="F124" s="190"/>
      <c r="G124" s="187"/>
    </row>
    <row r="125" spans="1:7" x14ac:dyDescent="0.3">
      <c r="A125" s="2"/>
      <c r="B125" s="2"/>
      <c r="C125" s="2"/>
      <c r="D125" s="168"/>
      <c r="E125" s="237"/>
      <c r="F125" s="253"/>
      <c r="G125" s="2"/>
    </row>
    <row r="126" spans="1:7" x14ac:dyDescent="0.3">
      <c r="A126" s="2"/>
      <c r="B126" s="2"/>
      <c r="C126" s="2"/>
      <c r="D126" s="168"/>
      <c r="E126" s="237"/>
      <c r="F126" s="253"/>
      <c r="G126" s="2"/>
    </row>
    <row r="127" spans="1:7" x14ac:dyDescent="0.3">
      <c r="A127" s="2"/>
      <c r="B127" s="2"/>
      <c r="C127" s="2"/>
      <c r="D127" s="168"/>
      <c r="E127" s="237"/>
      <c r="F127" s="253"/>
      <c r="G127" s="2"/>
    </row>
    <row r="128" spans="1:7" x14ac:dyDescent="0.3">
      <c r="A128" s="2"/>
      <c r="B128" s="2"/>
      <c r="C128" s="2"/>
      <c r="D128" s="168"/>
      <c r="E128" s="237"/>
      <c r="F128" s="253"/>
      <c r="G128" s="2"/>
    </row>
    <row r="129" spans="1:7" x14ac:dyDescent="0.3">
      <c r="A129" s="2"/>
      <c r="B129" s="2"/>
      <c r="C129" s="2"/>
      <c r="D129" s="168"/>
      <c r="E129" s="237"/>
      <c r="F129" s="253"/>
      <c r="G129" s="2"/>
    </row>
    <row r="130" spans="1:7" x14ac:dyDescent="0.3">
      <c r="A130" s="2"/>
      <c r="B130" s="2"/>
      <c r="C130" s="2"/>
      <c r="D130" s="168"/>
      <c r="E130" s="237"/>
      <c r="F130" s="253"/>
      <c r="G130" s="2"/>
    </row>
    <row r="131" spans="1:7" x14ac:dyDescent="0.3">
      <c r="A131" s="2"/>
      <c r="B131" s="2"/>
      <c r="C131" s="366"/>
      <c r="D131" s="167"/>
      <c r="E131" s="198"/>
      <c r="F131" s="198"/>
      <c r="G131" s="366"/>
    </row>
  </sheetData>
  <sheetProtection formatCells="0" formatColumns="0" formatRows="0" insertColumns="0" insertRows="0" insertHyperlinks="0" deleteColumns="0" deleteRows="0" sort="0" autoFilter="0" pivotTables="0"/>
  <mergeCells count="16">
    <mergeCell ref="A71:A86"/>
    <mergeCell ref="A119:G119"/>
    <mergeCell ref="A3:G3"/>
    <mergeCell ref="A20:G20"/>
    <mergeCell ref="A45:G45"/>
    <mergeCell ref="A46:A57"/>
    <mergeCell ref="A21:A24"/>
    <mergeCell ref="A4:A10"/>
    <mergeCell ref="A112:G112"/>
    <mergeCell ref="A60:A68"/>
    <mergeCell ref="A88:G88"/>
    <mergeCell ref="A94:G94"/>
    <mergeCell ref="A34:A43"/>
    <mergeCell ref="A27:A31"/>
    <mergeCell ref="A16:A18"/>
    <mergeCell ref="A13:A14"/>
  </mergeCells>
  <phoneticPr fontId="31" type="noConversion"/>
  <conditionalFormatting sqref="C131:C1048576 C19 G4 G6:G18">
    <cfRule type="cellIs" dxfId="366" priority="3" operator="equal">
      <formula>0</formula>
    </cfRule>
  </conditionalFormatting>
  <dataValidations count="2">
    <dataValidation type="list" allowBlank="1" showInputMessage="1" showErrorMessage="1" sqref="B19:C19" xr:uid="{00000000-0002-0000-0100-000003000000}">
      <formula1>hybride1</formula1>
    </dataValidation>
    <dataValidation type="list" allowBlank="1" showInputMessage="1" showErrorMessage="1" sqref="B111" xr:uid="{862392C3-D57E-43DD-AAA6-D2C8397AD78B}">
      <formula1>#REF!</formula1>
    </dataValidation>
  </dataValidations>
  <printOptions horizontalCentered="1" verticalCentered="1"/>
  <pageMargins left="0.25" right="0.25" top="0.75" bottom="0.75" header="0.3" footer="0.3"/>
  <pageSetup paperSize="5" scale="45" orientation="portrait" cellComments="atEnd" r:id="rId1"/>
  <headerFooter differentOddEven="1">
    <oddFooter>&amp;R&amp;D</oddFooter>
  </headerFooter>
  <colBreaks count="1" manualBreakCount="1">
    <brk id="7" max="1048575" man="1"/>
  </colBreaks>
  <ignoredErrors>
    <ignoredError sqref="A19:G19 B3:G3 A25:G26 A44:G44 A58:G58 A69:G69 A93:G93 A87:G89 A33 B4:G4 A46 A59 A70 A21:G21 B20:G20 B95:D95 B94:G94 G95 B45:G4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outon 2">
              <controlPr defaultSize="0" print="0" autoFill="0" autoPict="0" macro="[0]!ajoutligne" altText="Ajouter ligne">
                <anchor moveWithCells="1">
                  <from>
                    <xdr:col>0</xdr:col>
                    <xdr:colOff>66675</xdr:colOff>
                    <xdr:row>0</xdr:row>
                    <xdr:rowOff>180975</xdr:rowOff>
                  </from>
                  <to>
                    <xdr:col>1</xdr:col>
                    <xdr:colOff>1276350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" name="Button 76">
              <controlPr defaultSize="0" print="0" autoFill="0" autoPict="0" macro="[0]!Imprectoverso" altText="Ajouter ligne">
                <anchor moveWithCells="1">
                  <from>
                    <xdr:col>1</xdr:col>
                    <xdr:colOff>3609975</xdr:colOff>
                    <xdr:row>0</xdr:row>
                    <xdr:rowOff>161925</xdr:rowOff>
                  </from>
                  <to>
                    <xdr:col>1</xdr:col>
                    <xdr:colOff>5772150</xdr:colOff>
                    <xdr:row>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6" name="Bouton 2">
              <controlPr defaultSize="0" print="0" autoFill="0" autoPict="0" macro="[0]!new_tri" altText="Ajouter ligne">
                <anchor moveWithCells="1">
                  <from>
                    <xdr:col>1</xdr:col>
                    <xdr:colOff>1371600</xdr:colOff>
                    <xdr:row>0</xdr:row>
                    <xdr:rowOff>180975</xdr:rowOff>
                  </from>
                  <to>
                    <xdr:col>1</xdr:col>
                    <xdr:colOff>3533775</xdr:colOff>
                    <xdr:row>0</xdr:row>
                    <xdr:rowOff>904875</xdr:rowOff>
                  </to>
                </anchor>
              </controlPr>
            </control>
          </mc:Choice>
        </mc:AlternateContent>
      </controls>
    </mc:Choice>
  </mc:AlternateContent>
  <tableParts count="10"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3021F791-1AAA-4723-A6F8-EE81CA297828}">
          <x14:formula1>
            <xm:f>'Base Hash Kiefs'!$A$98:$A$104</xm:f>
          </x14:formula1>
          <xm:sqref>B114:B117 C115:C117 C121:C124 B90:C92</xm:sqref>
        </x14:dataValidation>
        <x14:dataValidation type="list" allowBlank="1" showInputMessage="1" showErrorMessage="1" xr:uid="{BCBD15AB-46A6-4A68-A1C1-42D2446A4C2E}">
          <x14:formula1>
            <xm:f>'Base données formats'!$A$231:$A$237</xm:f>
          </x14:formula1>
          <xm:sqref>B16:B18 B13:B14</xm:sqref>
        </x14:dataValidation>
        <x14:dataValidation type="list" allowBlank="1" showInputMessage="1" showErrorMessage="1" xr:uid="{D50378B1-A02A-4D94-AFA0-E56A377E8197}">
          <x14:formula1>
            <xm:f>'Base Hash Kiefs'!$A$6:$A$92</xm:f>
          </x14:formula1>
          <xm:sqref>B103:B110</xm:sqref>
        </x14:dataValidation>
        <x14:dataValidation type="list" allowBlank="1" showInputMessage="1" showErrorMessage="1" xr:uid="{264E4491-EAE0-45E4-B027-4DE0F3A7E15C}">
          <x14:formula1>
            <xm:f>'Base Hash Kiefs'!$A$110:$A$148</xm:f>
          </x14:formula1>
          <xm:sqref>B121:B124</xm:sqref>
        </x14:dataValidation>
        <x14:dataValidation type="list" allowBlank="1" showInputMessage="1" showErrorMessage="1" xr:uid="{E9DD9D21-A1FA-4BDB-9271-91FA69B5E3F0}">
          <x14:formula1>
            <xm:f>'Base données formats'!$B$84:$B$127</xm:f>
          </x14:formula1>
          <xm:sqref>B87</xm:sqref>
        </x14:dataValidation>
        <x14:dataValidation type="list" allowBlank="1" showInputMessage="1" showErrorMessage="1" xr:uid="{235240DE-BBCB-477D-A9BD-BD60136BF31B}">
          <x14:formula1>
            <xm:f>'Base données formats'!$A$132:$A$150</xm:f>
          </x14:formula1>
          <xm:sqref>B27:B32</xm:sqref>
        </x14:dataValidation>
        <x14:dataValidation type="list" allowBlank="1" showInputMessage="1" showErrorMessage="1" xr:uid="{02700901-903B-4987-9C1C-A8785B6D6C62}">
          <x14:formula1>
            <xm:f>'Base données formats'!$A$84:$A$127</xm:f>
          </x14:formula1>
          <xm:sqref>B71:B86</xm:sqref>
        </x14:dataValidation>
        <x14:dataValidation type="list" allowBlank="1" showInputMessage="1" showErrorMessage="1" xr:uid="{00000000-0002-0000-0100-000001000000}">
          <x14:formula1>
            <xm:f>'Base données formats'!$A$154:$A$175</xm:f>
          </x14:formula1>
          <xm:sqref>B22:B24</xm:sqref>
        </x14:dataValidation>
        <x14:dataValidation type="list" allowBlank="1" showInputMessage="1" showErrorMessage="1" xr:uid="{1F79ECD8-96B4-4C3C-8B8E-5C61E6EF0B6D}">
          <x14:formula1>
            <xm:f>'Base données formats'!$A$209:$A$227</xm:f>
          </x14:formula1>
          <xm:sqref>B5:B10</xm:sqref>
        </x14:dataValidation>
        <x14:dataValidation type="list" allowBlank="1" showInputMessage="1" showErrorMessage="1" xr:uid="{F6A86ED6-501E-42C2-BB21-C9A7F29A4DD7}">
          <x14:formula1>
            <xm:f>'Base données formats'!$A$3:$A$39</xm:f>
          </x14:formula1>
          <xm:sqref>B60:B68</xm:sqref>
        </x14:dataValidation>
        <x14:dataValidation type="list" allowBlank="1" showInputMessage="1" showErrorMessage="1" xr:uid="{D24811FB-F392-4C8C-B6AF-349863ECFF09}">
          <x14:formula1>
            <xm:f>'Base données formats'!$A$43:$A$80</xm:f>
          </x14:formula1>
          <xm:sqref>B47:B57</xm:sqref>
        </x14:dataValidation>
        <x14:dataValidation type="list" allowBlank="1" showInputMessage="1" showErrorMessage="1" xr:uid="{7133BD6A-CE01-4390-9E00-06A2BB8BE37B}">
          <x14:formula1>
            <xm:f>'Base Hash Kiefs'!$A$153:$A$160</xm:f>
          </x14:formula1>
          <xm:sqref>B96:B102</xm:sqref>
        </x14:dataValidation>
        <x14:dataValidation type="list" allowBlank="1" showInputMessage="1" showErrorMessage="1" xr:uid="{EA91A9CA-253D-46C6-AB88-709A53FDE67A}">
          <x14:formula1>
            <xm:f>'Base données formats'!$A$179:$A$205</xm:f>
          </x14:formula1>
          <xm:sqref>B34:B43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4794-D7DE-4680-883B-779D64DA95C5}">
  <sheetPr codeName="Feuil2">
    <pageSetUpPr fitToPage="1"/>
  </sheetPr>
  <dimension ref="A1:I93"/>
  <sheetViews>
    <sheetView zoomScale="70" zoomScaleNormal="70" workbookViewId="0">
      <selection activeCell="A96" sqref="A96:G102"/>
    </sheetView>
  </sheetViews>
  <sheetFormatPr baseColWidth="10" defaultColWidth="11.42578125" defaultRowHeight="15" x14ac:dyDescent="0.25"/>
  <cols>
    <col min="1" max="1" width="16.28515625" customWidth="1"/>
    <col min="2" max="2" width="87.5703125" customWidth="1"/>
    <col min="3" max="3" width="47" bestFit="1" customWidth="1"/>
    <col min="4" max="4" width="22.85546875" customWidth="1"/>
    <col min="5" max="5" width="12" customWidth="1"/>
    <col min="6" max="6" width="11.140625" customWidth="1"/>
    <col min="7" max="7" width="19.85546875" customWidth="1"/>
    <col min="8" max="8" width="36.85546875" bestFit="1" customWidth="1"/>
    <col min="9" max="9" width="32.140625" customWidth="1"/>
  </cols>
  <sheetData>
    <row r="1" spans="1:9" s="390" customFormat="1" ht="66" customHeight="1" thickBot="1" x14ac:dyDescent="0.3"/>
    <row r="2" spans="1:9" ht="15.75" hidden="1" thickBot="1" x14ac:dyDescent="0.3">
      <c r="A2" s="227"/>
      <c r="B2" s="227"/>
      <c r="C2" s="227"/>
      <c r="D2" s="227"/>
      <c r="E2" s="227"/>
      <c r="F2" s="227"/>
      <c r="G2" s="227"/>
    </row>
    <row r="3" spans="1:9" s="399" customFormat="1" ht="29.25" thickBot="1" x14ac:dyDescent="0.5">
      <c r="A3" s="635" t="s">
        <v>181</v>
      </c>
      <c r="B3" s="636"/>
      <c r="C3" s="636"/>
      <c r="D3" s="636"/>
      <c r="E3" s="636"/>
      <c r="F3" s="636"/>
      <c r="G3" s="636"/>
      <c r="H3" s="636"/>
      <c r="I3" s="637"/>
    </row>
    <row r="4" spans="1:9" s="406" customFormat="1" ht="23.25" customHeight="1" thickBot="1" x14ac:dyDescent="0.4">
      <c r="A4" s="400" t="s">
        <v>5</v>
      </c>
      <c r="B4" s="400" t="s">
        <v>182</v>
      </c>
      <c r="C4" s="401" t="s">
        <v>4</v>
      </c>
      <c r="D4" s="402" t="s">
        <v>6</v>
      </c>
      <c r="E4" s="403" t="s">
        <v>40</v>
      </c>
      <c r="F4" s="403" t="s">
        <v>41</v>
      </c>
      <c r="G4" s="404" t="s">
        <v>136</v>
      </c>
      <c r="H4" s="401" t="s">
        <v>183</v>
      </c>
      <c r="I4" s="405" t="s">
        <v>184</v>
      </c>
    </row>
    <row r="5" spans="1:9" s="406" customFormat="1" ht="24.75" customHeight="1" x14ac:dyDescent="0.35">
      <c r="A5" s="407" t="str">
        <f>VLOOKUP(B5,'Base Hash Kiefs'!$A$6:$O$92,11,FALSE)</f>
        <v>1 g</v>
      </c>
      <c r="B5" s="412" t="s">
        <v>1011</v>
      </c>
      <c r="C5" s="408" t="str">
        <f>VLOOKUP(B5,'Base Hash Kiefs'!$A$6:$O$92,8,FALSE)</f>
        <v>QcGoldtech</v>
      </c>
      <c r="D5" s="409">
        <f>VLOOKUP(B5,'Base Hash Kiefs'!$A$6:$O$92,15,FALSE)</f>
        <v>20.9</v>
      </c>
      <c r="E5" s="413">
        <v>0.28999999999999998</v>
      </c>
      <c r="F5" s="413">
        <v>0.05</v>
      </c>
      <c r="G5" s="408" t="str">
        <f>VLOOKUP(B5,'Base Hash Kiefs'!$A$6:$O$92,3,FALSE)</f>
        <v>Qc</v>
      </c>
      <c r="H5" s="410" t="str">
        <f>VLOOKUP(B5,'Base Hash Kiefs'!$A$6:$O$92,13,FALSE)</f>
        <v>brun foncé à noir</v>
      </c>
      <c r="I5" s="410" t="str">
        <f>VLOOKUP(B5,'Base Hash Kiefs'!$A$6:$O$92,14,FALSE)</f>
        <v>malléable à résineux</v>
      </c>
    </row>
    <row r="6" spans="1:9" s="406" customFormat="1" ht="24.75" customHeight="1" x14ac:dyDescent="0.35">
      <c r="A6" s="407" t="str">
        <f>VLOOKUP(B6,'Base Hash Kiefs'!$A$6:$O$92,11,FALSE)</f>
        <v>1 g</v>
      </c>
      <c r="B6" s="412" t="s">
        <v>187</v>
      </c>
      <c r="C6" s="408" t="str">
        <f>VLOOKUP(B6,'Base Hash Kiefs'!$A$6:$O$92,8,FALSE)</f>
        <v>Nugz</v>
      </c>
      <c r="D6" s="409">
        <f>VLOOKUP(B6,'Base Hash Kiefs'!$A$6:$O$92,15,FALSE)</f>
        <v>29.8</v>
      </c>
      <c r="E6" s="413">
        <v>0.28999999999999998</v>
      </c>
      <c r="F6" s="413">
        <v>0.3</v>
      </c>
      <c r="G6" s="408" t="str">
        <f>VLOOKUP(B6,'Base Hash Kiefs'!$A$6:$O$92,3,FALSE)</f>
        <v>Qc</v>
      </c>
      <c r="H6" s="410" t="str">
        <f>VLOOKUP(B6,'Base Hash Kiefs'!$A$6:$O$92,13,FALSE)</f>
        <v>Blond à brun clair</v>
      </c>
      <c r="I6" s="410" t="str">
        <f>VLOOKUP(B6,'Base Hash Kiefs'!$A$6:$O$92,14,FALSE)</f>
        <v>Malléable à résineux</v>
      </c>
    </row>
    <row r="7" spans="1:9" s="406" customFormat="1" ht="24.75" customHeight="1" x14ac:dyDescent="0.35">
      <c r="A7" s="407" t="str">
        <f>VLOOKUP(B7,'Base Hash Kiefs'!$A$6:$O$92,11,FALSE)</f>
        <v>1 g</v>
      </c>
      <c r="B7" s="412" t="s">
        <v>1027</v>
      </c>
      <c r="C7" s="408" t="str">
        <f>VLOOKUP(B7,'Base Hash Kiefs'!$A$6:$O$92,8,FALSE)</f>
        <v>La Voute</v>
      </c>
      <c r="D7" s="409">
        <f>VLOOKUP(B7,'Base Hash Kiefs'!$A$6:$O$92,15,FALSE)</f>
        <v>24.2</v>
      </c>
      <c r="E7" s="413">
        <v>0.28999999999999998</v>
      </c>
      <c r="F7" s="413" t="s">
        <v>87</v>
      </c>
      <c r="G7" s="408" t="str">
        <f>VLOOKUP(B7,'Base Hash Kiefs'!$A$6:$O$92,3,FALSE)</f>
        <v>Qc</v>
      </c>
      <c r="H7" s="410" t="str">
        <f>VLOOKUP(B7,'Base Hash Kiefs'!$A$6:$O$92,13,FALSE)</f>
        <v>Brun clair à Brun foncé</v>
      </c>
      <c r="I7" s="410" t="str">
        <f>VLOOKUP(B7,'Base Hash Kiefs'!$A$6:$O$92,14,FALSE)</f>
        <v>Malléable à résineux</v>
      </c>
    </row>
    <row r="8" spans="1:9" s="406" customFormat="1" ht="24.75" customHeight="1" x14ac:dyDescent="0.35">
      <c r="A8" s="407" t="str">
        <f>VLOOKUP(B8,'Base Hash Kiefs'!$A$6:$O$92,11,FALSE)</f>
        <v>1 g</v>
      </c>
      <c r="B8" s="412" t="s">
        <v>186</v>
      </c>
      <c r="C8" s="408" t="str">
        <f>VLOOKUP(B8,'Base Hash Kiefs'!$A$6:$O$92,8,FALSE)</f>
        <v>Nugz</v>
      </c>
      <c r="D8" s="409">
        <f>VLOOKUP(B8,'Base Hash Kiefs'!$A$6:$O$92,15,FALSE)</f>
        <v>30.7</v>
      </c>
      <c r="E8" s="413">
        <v>0.28999999999999998</v>
      </c>
      <c r="F8" s="413">
        <v>0.28999999999999998</v>
      </c>
      <c r="G8" s="408" t="str">
        <f>VLOOKUP(B8,'Base Hash Kiefs'!$A$6:$O$92,3,FALSE)</f>
        <v>Qc</v>
      </c>
      <c r="H8" s="410" t="str">
        <f>VLOOKUP(B8,'Base Hash Kiefs'!$A$6:$O$92,13,FALSE)</f>
        <v>Blond à brun clair</v>
      </c>
      <c r="I8" s="410" t="str">
        <f>VLOOKUP(B8,'Base Hash Kiefs'!$A$6:$O$92,14,FALSE)</f>
        <v>Malléable à résineux</v>
      </c>
    </row>
    <row r="9" spans="1:9" s="406" customFormat="1" ht="24.75" customHeight="1" x14ac:dyDescent="0.35">
      <c r="A9" s="407" t="str">
        <f>VLOOKUP(B9,'Base Hash Kiefs'!$A$6:$O$92,11,FALSE)</f>
        <v>1 g</v>
      </c>
      <c r="B9" s="412" t="s">
        <v>185</v>
      </c>
      <c r="C9" s="408" t="str">
        <f>VLOOKUP(B9,'Base Hash Kiefs'!$A$6:$O$92,8,FALSE)</f>
        <v>XK</v>
      </c>
      <c r="D9" s="409">
        <f>VLOOKUP(B9,'Base Hash Kiefs'!$A$6:$O$92,15,FALSE)</f>
        <v>21</v>
      </c>
      <c r="E9" s="413">
        <v>0.01</v>
      </c>
      <c r="F9" s="413">
        <v>0.39</v>
      </c>
      <c r="G9" s="408" t="str">
        <f>VLOOKUP(B9,'Base Hash Kiefs'!$A$6:$O$92,3,FALSE)</f>
        <v>Qc</v>
      </c>
      <c r="H9" s="410" t="str">
        <f>VLOOKUP(B9,'Base Hash Kiefs'!$A$6:$O$92,13,FALSE)</f>
        <v>brun clair à brun foncé</v>
      </c>
      <c r="I9" s="410" t="str">
        <f>VLOOKUP(B9,'Base Hash Kiefs'!$A$6:$O$92,14,FALSE)</f>
        <v>malléable à résineux</v>
      </c>
    </row>
    <row r="10" spans="1:9" s="406" customFormat="1" ht="24.75" customHeight="1" x14ac:dyDescent="0.35">
      <c r="A10" s="407" t="str">
        <f>VLOOKUP(B10,'Base Hash Kiefs'!$A$6:$O$92,11,FALSE)</f>
        <v>2 g</v>
      </c>
      <c r="B10" s="412" t="s">
        <v>189</v>
      </c>
      <c r="C10" s="408" t="str">
        <f>VLOOKUP(B10,'Base Hash Kiefs'!$A$6:$O$92,8,FALSE)</f>
        <v>R'Belle</v>
      </c>
      <c r="D10" s="409">
        <f>VLOOKUP(B10,'Base Hash Kiefs'!$A$6:$O$92,15,FALSE)</f>
        <v>26.7</v>
      </c>
      <c r="E10" s="413">
        <v>0.3</v>
      </c>
      <c r="F10" s="413"/>
      <c r="G10" s="408" t="str">
        <f>VLOOKUP(B10,'Base Hash Kiefs'!$A$6:$O$92,3,FALSE)</f>
        <v>Qc</v>
      </c>
      <c r="H10" s="410" t="str">
        <f>VLOOKUP(B10,'Base Hash Kiefs'!$A$6:$O$92,13,FALSE)</f>
        <v>Brun foncé à noir</v>
      </c>
      <c r="I10" s="410" t="str">
        <f>VLOOKUP(B10,'Base Hash Kiefs'!$A$6:$O$92,14,FALSE)</f>
        <v>Malléable à résineux</v>
      </c>
    </row>
    <row r="11" spans="1:9" s="406" customFormat="1" ht="24.75" customHeight="1" x14ac:dyDescent="0.35">
      <c r="A11" s="407" t="str">
        <f>VLOOKUP(B11,'Base Hash Kiefs'!$A$6:$O$92,11,FALSE)</f>
        <v>2 g</v>
      </c>
      <c r="B11" s="412" t="s">
        <v>190</v>
      </c>
      <c r="C11" s="408" t="str">
        <f>VLOOKUP(B11,'Base Hash Kiefs'!$A$6:$O$92,8,FALSE)</f>
        <v>MTL Cannabis</v>
      </c>
      <c r="D11" s="409">
        <f>VLOOKUP(B11,'Base Hash Kiefs'!$A$6:$O$92,15,FALSE)</f>
        <v>31.8</v>
      </c>
      <c r="E11" s="413">
        <v>0.3</v>
      </c>
      <c r="F11" s="413" t="s">
        <v>87</v>
      </c>
      <c r="G11" s="408" t="str">
        <f>VLOOKUP(B11,'Base Hash Kiefs'!$A$6:$O$92,3,FALSE)</f>
        <v>Qc</v>
      </c>
      <c r="H11" s="410" t="str">
        <f>VLOOKUP(B11,'Base Hash Kiefs'!$A$6:$O$92,13,FALSE)</f>
        <v>Brun foncé à noir</v>
      </c>
      <c r="I11" s="410" t="str">
        <f>VLOOKUP(B11,'Base Hash Kiefs'!$A$6:$O$92,14,FALSE)</f>
        <v>Malléable à résineux</v>
      </c>
    </row>
    <row r="12" spans="1:9" s="406" customFormat="1" ht="24.75" customHeight="1" x14ac:dyDescent="0.35">
      <c r="A12" s="407" t="str">
        <f>VLOOKUP(B12,'Base Hash Kiefs'!$A$6:$O$92,11,FALSE)</f>
        <v>2 g</v>
      </c>
      <c r="B12" s="412" t="s">
        <v>197</v>
      </c>
      <c r="C12" s="408" t="str">
        <f>VLOOKUP(B12,'Base Hash Kiefs'!$A$6:$O$92,8,FALSE)</f>
        <v>Nordique Royale</v>
      </c>
      <c r="D12" s="409">
        <f>VLOOKUP(B12,'Base Hash Kiefs'!$A$6:$O$92,15,FALSE)</f>
        <v>36.6</v>
      </c>
      <c r="E12" s="413">
        <v>0.28999999999999998</v>
      </c>
      <c r="F12" s="413">
        <v>0.09</v>
      </c>
      <c r="G12" s="408" t="str">
        <f>VLOOKUP(B12,'Base Hash Kiefs'!$A$6:$O$92,3,FALSE)</f>
        <v>Qc</v>
      </c>
      <c r="H12" s="410" t="str">
        <f>VLOOKUP(B12,'Base Hash Kiefs'!$A$6:$O$92,13,FALSE)</f>
        <v>Brun foncé à noir</v>
      </c>
      <c r="I12" s="410" t="str">
        <f>VLOOKUP(B12,'Base Hash Kiefs'!$A$6:$O$92,14,FALSE)</f>
        <v>Malléable à résineux</v>
      </c>
    </row>
    <row r="13" spans="1:9" s="406" customFormat="1" ht="24.75" customHeight="1" x14ac:dyDescent="0.35">
      <c r="A13" s="407" t="str">
        <f>VLOOKUP(B13,'Base Hash Kiefs'!$A$6:$O$92,11,FALSE)</f>
        <v>2 g</v>
      </c>
      <c r="B13" s="412" t="s">
        <v>188</v>
      </c>
      <c r="C13" s="408" t="str">
        <f>VLOOKUP(B13,'Base Hash Kiefs'!$A$6:$O$92,8,FALSE)</f>
        <v>Nugz</v>
      </c>
      <c r="D13" s="409">
        <f>VLOOKUP(B13,'Base Hash Kiefs'!$A$6:$O$92,15,FALSE)</f>
        <v>29.9</v>
      </c>
      <c r="E13" s="413">
        <v>0.28999999999999998</v>
      </c>
      <c r="F13" s="413">
        <v>0.11</v>
      </c>
      <c r="G13" s="408" t="str">
        <f>VLOOKUP(B13,'Base Hash Kiefs'!$A$6:$O$92,3,FALSE)</f>
        <v>Qc</v>
      </c>
      <c r="H13" s="410" t="str">
        <f>VLOOKUP(B13,'Base Hash Kiefs'!$A$6:$O$92,13,FALSE)</f>
        <v>brun foncé à noir</v>
      </c>
      <c r="I13" s="410" t="str">
        <f>VLOOKUP(B13,'Base Hash Kiefs'!$A$6:$O$92,14,FALSE)</f>
        <v>malléable à résineux</v>
      </c>
    </row>
    <row r="14" spans="1:9" s="406" customFormat="1" ht="24.75" customHeight="1" x14ac:dyDescent="0.35">
      <c r="A14" s="407" t="str">
        <f>VLOOKUP(B14,'Base Hash Kiefs'!$A$6:$O$92,11,FALSE)</f>
        <v>2 g</v>
      </c>
      <c r="B14" s="412" t="s">
        <v>194</v>
      </c>
      <c r="C14" s="408" t="str">
        <f>VLOOKUP(B14,'Base Hash Kiefs'!$A$6:$O$92,8,FALSE)</f>
        <v>Blanh</v>
      </c>
      <c r="D14" s="409">
        <f>VLOOKUP(B14,'Base Hash Kiefs'!$A$6:$O$92,15,FALSE)</f>
        <v>26.9</v>
      </c>
      <c r="E14" s="413">
        <v>0.28999999999999998</v>
      </c>
      <c r="F14" s="413" t="s">
        <v>87</v>
      </c>
      <c r="G14" s="408" t="str">
        <f>VLOOKUP(B14,'Base Hash Kiefs'!$A$6:$O$92,3,FALSE)</f>
        <v>Qc</v>
      </c>
      <c r="H14" s="410" t="str">
        <f>VLOOKUP(B14,'Base Hash Kiefs'!$A$6:$O$92,13,FALSE)</f>
        <v>Brun foncé à noir</v>
      </c>
      <c r="I14" s="410" t="str">
        <f>VLOOKUP(B14,'Base Hash Kiefs'!$A$6:$O$92,14,FALSE)</f>
        <v>Malléable à résineux</v>
      </c>
    </row>
    <row r="15" spans="1:9" s="406" customFormat="1" ht="24.75" customHeight="1" x14ac:dyDescent="0.35">
      <c r="A15" s="407" t="str">
        <f>VLOOKUP(B15,'Base Hash Kiefs'!$A$6:$O$92,11,FALSE)</f>
        <v>2 g</v>
      </c>
      <c r="B15" s="412" t="s">
        <v>195</v>
      </c>
      <c r="C15" s="408" t="str">
        <f>VLOOKUP(B15,'Base Hash Kiefs'!$A$6:$O$92,8,FALSE)</f>
        <v>ShredX Rip Strip Hash</v>
      </c>
      <c r="D15" s="409">
        <f>VLOOKUP(B15,'Base Hash Kiefs'!$A$6:$O$92,15,FALSE)</f>
        <v>28</v>
      </c>
      <c r="E15" s="413">
        <v>0.28000000000000003</v>
      </c>
      <c r="F15" s="413">
        <v>0.06</v>
      </c>
      <c r="G15" s="408" t="str">
        <f>VLOOKUP(B15,'Base Hash Kiefs'!$A$6:$O$92,3,FALSE)</f>
        <v>-</v>
      </c>
      <c r="H15" s="410" t="str">
        <f>VLOOKUP(B15,'Base Hash Kiefs'!$A$6:$O$92,13,FALSE)</f>
        <v>Brun foncé à noir</v>
      </c>
      <c r="I15" s="410" t="str">
        <f>VLOOKUP(B15,'Base Hash Kiefs'!$A$6:$O$92,14,FALSE)</f>
        <v>Malléable</v>
      </c>
    </row>
    <row r="16" spans="1:9" s="406" customFormat="1" ht="24.75" customHeight="1" x14ac:dyDescent="0.35">
      <c r="A16" s="407" t="str">
        <f>VLOOKUP(B16,'Base Hash Kiefs'!$A$6:$O$92,11,FALSE)</f>
        <v>2 g</v>
      </c>
      <c r="B16" s="412" t="s">
        <v>196</v>
      </c>
      <c r="C16" s="408" t="str">
        <f>VLOOKUP(B16,'Base Hash Kiefs'!$A$6:$O$92,8,FALSE)</f>
        <v>Be Humble.</v>
      </c>
      <c r="D16" s="409">
        <f>VLOOKUP(B16,'Base Hash Kiefs'!$A$6:$O$92,15,FALSE)</f>
        <v>29</v>
      </c>
      <c r="E16" s="413">
        <v>0.28000000000000003</v>
      </c>
      <c r="F16" s="413">
        <v>0.19</v>
      </c>
      <c r="G16" s="408" t="str">
        <f>VLOOKUP(B16,'Base Hash Kiefs'!$A$6:$O$92,3,FALSE)</f>
        <v>Qc</v>
      </c>
      <c r="H16" s="410" t="str">
        <f>VLOOKUP(B16,'Base Hash Kiefs'!$A$6:$O$92,13,FALSE)</f>
        <v>Brun foncé à noir</v>
      </c>
      <c r="I16" s="410" t="str">
        <f>VLOOKUP(B16,'Base Hash Kiefs'!$A$6:$O$92,14,FALSE)</f>
        <v>Malléable à résineux</v>
      </c>
    </row>
    <row r="17" spans="1:9" s="406" customFormat="1" ht="24.75" customHeight="1" x14ac:dyDescent="0.35">
      <c r="A17" s="407" t="str">
        <f>VLOOKUP(B17,'Base Hash Kiefs'!$A$6:$O$92,11,FALSE)</f>
        <v>2 g</v>
      </c>
      <c r="B17" s="412" t="s">
        <v>193</v>
      </c>
      <c r="C17" s="408" t="str">
        <f>VLOOKUP(B17,'Base Hash Kiefs'!$A$6:$O$92,8,FALSE)</f>
        <v>La Voute</v>
      </c>
      <c r="D17" s="409">
        <f>VLOOKUP(B17,'Base Hash Kiefs'!$A$6:$O$92,15,FALSE)</f>
        <v>48.4</v>
      </c>
      <c r="E17" s="413">
        <v>0.28000000000000003</v>
      </c>
      <c r="F17" s="413" t="s">
        <v>87</v>
      </c>
      <c r="G17" s="408" t="str">
        <f>VLOOKUP(B17,'Base Hash Kiefs'!$A$6:$O$92,3,FALSE)</f>
        <v>Qc</v>
      </c>
      <c r="H17" s="410" t="str">
        <f>VLOOKUP(B17,'Base Hash Kiefs'!$A$6:$O$92,13,FALSE)</f>
        <v>Brun clair à brun foncé</v>
      </c>
      <c r="I17" s="410" t="str">
        <f>VLOOKUP(B17,'Base Hash Kiefs'!$A$6:$O$92,14,FALSE)</f>
        <v>Malléable à résineux</v>
      </c>
    </row>
    <row r="18" spans="1:9" s="406" customFormat="1" ht="24.75" customHeight="1" x14ac:dyDescent="0.35">
      <c r="A18" s="407" t="str">
        <f>VLOOKUP(B18,'Base Hash Kiefs'!$A$6:$O$92,11,FALSE)</f>
        <v>2 g</v>
      </c>
      <c r="B18" s="412" t="s">
        <v>192</v>
      </c>
      <c r="C18" s="408" t="str">
        <f>VLOOKUP(B18,'Base Hash Kiefs'!$A$6:$O$92,8,FALSE)</f>
        <v>Hexo</v>
      </c>
      <c r="D18" s="409">
        <f>VLOOKUP(B18,'Base Hash Kiefs'!$A$6:$O$92,15,FALSE)</f>
        <v>34</v>
      </c>
      <c r="E18" s="413">
        <v>0.27</v>
      </c>
      <c r="F18" s="413" t="s">
        <v>87</v>
      </c>
      <c r="G18" s="408" t="str">
        <f>VLOOKUP(B18,'Base Hash Kiefs'!$A$6:$O$92,3,FALSE)</f>
        <v>Qc</v>
      </c>
      <c r="H18" s="410" t="str">
        <f>VLOOKUP(B18,'Base Hash Kiefs'!$A$6:$O$92,13,FALSE)</f>
        <v>Blond à brun clair</v>
      </c>
      <c r="I18" s="410" t="str">
        <f>VLOOKUP(B18,'Base Hash Kiefs'!$A$6:$O$92,14,FALSE)</f>
        <v>Dur à friable</v>
      </c>
    </row>
    <row r="19" spans="1:9" s="406" customFormat="1" ht="24.75" customHeight="1" x14ac:dyDescent="0.35">
      <c r="A19" s="407" t="str">
        <f>VLOOKUP(B19,'Base Hash Kiefs'!$A$6:$O$92,11,FALSE)</f>
        <v>2 g</v>
      </c>
      <c r="B19" s="412" t="s">
        <v>198</v>
      </c>
      <c r="C19" s="408" t="str">
        <f>VLOOKUP(B19,'Base Hash Kiefs'!$A$6:$O$92,8,FALSE)</f>
        <v>Wô Là par Tremblant Hasch</v>
      </c>
      <c r="D19" s="409">
        <f>VLOOKUP(B19,'Base Hash Kiefs'!$A$6:$O$92,15,FALSE)</f>
        <v>27</v>
      </c>
      <c r="E19" s="413">
        <v>0.27</v>
      </c>
      <c r="F19" s="413" t="s">
        <v>87</v>
      </c>
      <c r="G19" s="408" t="str">
        <f>VLOOKUP(B19,'Base Hash Kiefs'!$A$6:$O$92,3,FALSE)</f>
        <v>-</v>
      </c>
      <c r="H19" s="410" t="str">
        <f>VLOOKUP(B19,'Base Hash Kiefs'!$A$6:$O$92,13,FALSE)</f>
        <v>Brun clair à brun foncé</v>
      </c>
      <c r="I19" s="410" t="str">
        <f>VLOOKUP(B19,'Base Hash Kiefs'!$A$6:$O$92,14,FALSE)</f>
        <v>Malléable à résineux</v>
      </c>
    </row>
    <row r="20" spans="1:9" s="406" customFormat="1" ht="24.75" customHeight="1" x14ac:dyDescent="0.35">
      <c r="A20" s="407" t="str">
        <f>VLOOKUP(B20,'Base Hash Kiefs'!$A$6:$O$92,11,FALSE)</f>
        <v>2 g</v>
      </c>
      <c r="B20" s="412" t="s">
        <v>199</v>
      </c>
      <c r="C20" s="408" t="str">
        <f>VLOOKUP(B20,'Base Hash Kiefs'!$A$6:$O$92,8,FALSE)</f>
        <v>Nordique Royale</v>
      </c>
      <c r="D20" s="409">
        <f>VLOOKUP(B20,'Base Hash Kiefs'!$A$6:$O$92,15,FALSE)</f>
        <v>31.8</v>
      </c>
      <c r="E20" s="413">
        <v>0.26</v>
      </c>
      <c r="F20" s="413">
        <v>0.17</v>
      </c>
      <c r="G20" s="408" t="str">
        <f>VLOOKUP(B20,'Base Hash Kiefs'!$A$6:$O$92,3,FALSE)</f>
        <v>-</v>
      </c>
      <c r="H20" s="410" t="str">
        <f>VLOOKUP(B20,'Base Hash Kiefs'!$A$6:$O$92,13,FALSE)</f>
        <v>brun foncé à noir</v>
      </c>
      <c r="I20" s="410" t="str">
        <f>VLOOKUP(B20,'Base Hash Kiefs'!$A$6:$O$92,14,FALSE)</f>
        <v>malléable à résineux</v>
      </c>
    </row>
    <row r="21" spans="1:9" s="406" customFormat="1" ht="24.75" customHeight="1" x14ac:dyDescent="0.35">
      <c r="A21" s="407" t="str">
        <f>VLOOKUP(B21,'Base Hash Kiefs'!$A$6:$O$92,11,FALSE)</f>
        <v>2 g</v>
      </c>
      <c r="B21" s="412" t="s">
        <v>191</v>
      </c>
      <c r="C21" s="408" t="str">
        <f>VLOOKUP(B21,'Base Hash Kiefs'!$A$6:$O$92,8,FALSE)</f>
        <v>Good Supply</v>
      </c>
      <c r="D21" s="409">
        <f>VLOOKUP(B21,'Base Hash Kiefs'!$A$6:$O$92,15,FALSE)</f>
        <v>26.8</v>
      </c>
      <c r="E21" s="413">
        <v>0.25</v>
      </c>
      <c r="F21" s="413" t="s">
        <v>87</v>
      </c>
      <c r="G21" s="408" t="str">
        <f>VLOOKUP(B21,'Base Hash Kiefs'!$A$6:$O$92,3,FALSE)</f>
        <v>-</v>
      </c>
      <c r="H21" s="410" t="str">
        <f>VLOOKUP(B21,'Base Hash Kiefs'!$A$6:$O$92,13,FALSE)</f>
        <v>Blond à brun clair</v>
      </c>
      <c r="I21" s="410" t="str">
        <f>VLOOKUP(B21,'Base Hash Kiefs'!$A$6:$O$92,14,FALSE)</f>
        <v>Friable</v>
      </c>
    </row>
    <row r="22" spans="1:9" s="406" customFormat="1" ht="24.75" customHeight="1" x14ac:dyDescent="0.35">
      <c r="A22" s="407" t="str">
        <f>VLOOKUP(B22,'Base Hash Kiefs'!$A$6:$O$92,11,FALSE)</f>
        <v>2 g</v>
      </c>
      <c r="B22" s="412" t="s">
        <v>200</v>
      </c>
      <c r="C22" s="408" t="str">
        <f>VLOOKUP(B22,'Base Hash Kiefs'!$A$6:$O$92,8,FALSE)</f>
        <v>Bleuh Light</v>
      </c>
      <c r="D22" s="409">
        <f>VLOOKUP(B22,'Base Hash Kiefs'!$A$6:$O$92,15,FALSE)</f>
        <v>29.9</v>
      </c>
      <c r="E22" s="413">
        <v>0.04</v>
      </c>
      <c r="F22" s="413">
        <v>0.22</v>
      </c>
      <c r="G22" s="408" t="str">
        <f>VLOOKUP(B22,'Base Hash Kiefs'!$A$6:$O$92,3,FALSE)</f>
        <v>Qc</v>
      </c>
      <c r="H22" s="410" t="str">
        <f>VLOOKUP(B22,'Base Hash Kiefs'!$A$6:$O$92,13,FALSE)</f>
        <v>Brun clair à brun foncé</v>
      </c>
      <c r="I22" s="410" t="str">
        <f>VLOOKUP(B22,'Base Hash Kiefs'!$A$6:$O$92,14,FALSE)</f>
        <v>Malléable à résineux</v>
      </c>
    </row>
    <row r="23" spans="1:9" s="406" customFormat="1" ht="24.75" customHeight="1" x14ac:dyDescent="0.35">
      <c r="A23" s="407" t="str">
        <f>VLOOKUP(B23,'Base Hash Kiefs'!$A$6:$O$92,11,FALSE)</f>
        <v>3 g</v>
      </c>
      <c r="B23" s="412" t="s">
        <v>201</v>
      </c>
      <c r="C23" s="408" t="str">
        <f>VLOOKUP(B23,'Base Hash Kiefs'!$A$6:$O$92,8,FALSE)</f>
        <v>XK</v>
      </c>
      <c r="D23" s="409">
        <f>VLOOKUP(B23,'Base Hash Kiefs'!$A$6:$O$92,15,FALSE)</f>
        <v>44</v>
      </c>
      <c r="E23" s="413">
        <v>0.3</v>
      </c>
      <c r="F23" s="413">
        <v>0.12</v>
      </c>
      <c r="G23" s="408" t="str">
        <f>VLOOKUP(B23,'Base Hash Kiefs'!$A$6:$O$92,3,FALSE)</f>
        <v>-</v>
      </c>
      <c r="H23" s="410" t="str">
        <f>VLOOKUP(B23,'Base Hash Kiefs'!$A$6:$O$92,13,FALSE)</f>
        <v>Brun foncé à noir</v>
      </c>
      <c r="I23" s="410" t="str">
        <f>VLOOKUP(B23,'Base Hash Kiefs'!$A$6:$O$92,14,FALSE)</f>
        <v>Malléable à résineux</v>
      </c>
    </row>
    <row r="24" spans="1:9" s="406" customFormat="1" ht="24.75" customHeight="1" x14ac:dyDescent="0.35">
      <c r="A24" s="407" t="str">
        <f>VLOOKUP(B24,'Base Hash Kiefs'!$A$6:$O$92,11,FALSE)</f>
        <v>3 g</v>
      </c>
      <c r="B24" s="412" t="s">
        <v>1043</v>
      </c>
      <c r="C24" s="408" t="str">
        <f>VLOOKUP(B24,'Base Hash Kiefs'!$A$6:$O$92,8,FALSE)</f>
        <v>Blanh</v>
      </c>
      <c r="D24" s="409">
        <f>VLOOKUP(B24,'Base Hash Kiefs'!$A$6:$O$92,15,FALSE)</f>
        <v>44.9</v>
      </c>
      <c r="E24" s="413">
        <v>0.3</v>
      </c>
      <c r="F24" s="413">
        <v>0.02</v>
      </c>
      <c r="G24" s="408" t="str">
        <f>VLOOKUP(B24,'Base Hash Kiefs'!$A$6:$O$92,3,FALSE)</f>
        <v>Qc</v>
      </c>
      <c r="H24" s="410" t="str">
        <f>VLOOKUP(B24,'Base Hash Kiefs'!$A$6:$O$92,13,FALSE)</f>
        <v>Blond à brun clair</v>
      </c>
      <c r="I24" s="410" t="str">
        <f>VLOOKUP(B24,'Base Hash Kiefs'!$A$6:$O$92,14,FALSE)</f>
        <v>Malléable à résineux</v>
      </c>
    </row>
    <row r="25" spans="1:9" s="406" customFormat="1" ht="24.75" customHeight="1" x14ac:dyDescent="0.35">
      <c r="A25" s="407" t="str">
        <f>VLOOKUP(B25,'Base Hash Kiefs'!$A$6:$O$92,11,FALSE)</f>
        <v>3 g</v>
      </c>
      <c r="B25" s="412" t="s">
        <v>204</v>
      </c>
      <c r="C25" s="408" t="str">
        <f>VLOOKUP(B25,'Base Hash Kiefs'!$A$6:$O$92,8,FALSE)</f>
        <v>Nugz</v>
      </c>
      <c r="D25" s="409">
        <f>VLOOKUP(B25,'Base Hash Kiefs'!$A$6:$O$92,15,FALSE)</f>
        <v>46.7</v>
      </c>
      <c r="E25" s="413">
        <v>0.28999999999999998</v>
      </c>
      <c r="F25" s="413">
        <v>0.09</v>
      </c>
      <c r="G25" s="408" t="str">
        <f>VLOOKUP(B25,'Base Hash Kiefs'!$A$6:$O$92,3,FALSE)</f>
        <v>Qc</v>
      </c>
      <c r="H25" s="410" t="str">
        <f>VLOOKUP(B25,'Base Hash Kiefs'!$A$6:$O$92,13,FALSE)</f>
        <v>Blond à brun clair</v>
      </c>
      <c r="I25" s="410" t="str">
        <f>VLOOKUP(B25,'Base Hash Kiefs'!$A$6:$O$92,14,FALSE)</f>
        <v>Malléable à résineux</v>
      </c>
    </row>
    <row r="26" spans="1:9" s="406" customFormat="1" ht="24.75" customHeight="1" x14ac:dyDescent="0.35">
      <c r="A26" s="411" t="str">
        <f>VLOOKUP(B26,'Base Hash Kiefs'!$A$6:$O$92,11,FALSE)</f>
        <v>3 g</v>
      </c>
      <c r="B26" s="412" t="s">
        <v>205</v>
      </c>
      <c r="C26" s="552" t="str">
        <f>VLOOKUP(B26,'Base Hash Kiefs'!$A$6:$O$92,8,FALSE)</f>
        <v>Ono</v>
      </c>
      <c r="D26" s="553">
        <f>VLOOKUP(B26,'Base Hash Kiefs'!$A$6:$O$92,15,FALSE)</f>
        <v>49.9</v>
      </c>
      <c r="E26" s="413">
        <v>0.28999999999999998</v>
      </c>
      <c r="F26" s="413">
        <v>0.02</v>
      </c>
      <c r="G26" s="552" t="str">
        <f>VLOOKUP(B26,'Base Hash Kiefs'!$A$6:$O$92,3,FALSE)</f>
        <v>Qc</v>
      </c>
      <c r="H26" s="554" t="str">
        <f>VLOOKUP(B26,'Base Hash Kiefs'!$A$6:$O$92,13,FALSE)</f>
        <v>Brun foncé à noir</v>
      </c>
      <c r="I26" s="554" t="str">
        <f>VLOOKUP(B26,'Base Hash Kiefs'!$A$6:$O$92,14,FALSE)</f>
        <v>Dur à friable</v>
      </c>
    </row>
    <row r="27" spans="1:9" s="406" customFormat="1" ht="24.75" customHeight="1" x14ac:dyDescent="0.35">
      <c r="A27" s="407" t="str">
        <f>VLOOKUP(B27,'Base Hash Kiefs'!$A$6:$O$92,11,FALSE)</f>
        <v>3 g</v>
      </c>
      <c r="B27" s="412" t="s">
        <v>206</v>
      </c>
      <c r="C27" s="408" t="str">
        <f>VLOOKUP(B27,'Base Hash Kiefs'!$A$6:$O$92,8,FALSE)</f>
        <v>Fleurs de Lise</v>
      </c>
      <c r="D27" s="409">
        <f>VLOOKUP(B27,'Base Hash Kiefs'!$A$6:$O$92,15,FALSE)</f>
        <v>49.3</v>
      </c>
      <c r="E27" s="413">
        <v>0.28999999999999998</v>
      </c>
      <c r="F27" s="413" t="s">
        <v>87</v>
      </c>
      <c r="G27" s="408" t="str">
        <f>VLOOKUP(B27,'Base Hash Kiefs'!$A$6:$O$92,3,FALSE)</f>
        <v>Qc</v>
      </c>
      <c r="H27" s="410" t="str">
        <f>VLOOKUP(B27,'Base Hash Kiefs'!$A$6:$O$92,13,FALSE)</f>
        <v>Brun foncé à noir</v>
      </c>
      <c r="I27" s="410" t="str">
        <f>VLOOKUP(B27,'Base Hash Kiefs'!$A$6:$O$92,14,FALSE)</f>
        <v>Malléable à résineux</v>
      </c>
    </row>
    <row r="28" spans="1:9" s="406" customFormat="1" ht="24.75" customHeight="1" x14ac:dyDescent="0.35">
      <c r="A28" s="407" t="str">
        <f>VLOOKUP(B28,'Base Hash Kiefs'!$A$6:$O$92,11,FALSE)</f>
        <v>3 g</v>
      </c>
      <c r="B28" s="412" t="s">
        <v>202</v>
      </c>
      <c r="C28" s="408" t="str">
        <f>VLOOKUP(B28,'Base Hash Kiefs'!$A$6:$O$92,8,FALSE)</f>
        <v>Fleurs de Lise</v>
      </c>
      <c r="D28" s="409">
        <f>VLOOKUP(B28,'Base Hash Kiefs'!$A$6:$O$92,15,FALSE)</f>
        <v>46</v>
      </c>
      <c r="E28" s="413">
        <v>0.28000000000000003</v>
      </c>
      <c r="F28" s="413">
        <v>0.19</v>
      </c>
      <c r="G28" s="408" t="str">
        <f>VLOOKUP(B28,'Base Hash Kiefs'!$A$6:$O$92,3,FALSE)</f>
        <v>Qc</v>
      </c>
      <c r="H28" s="410" t="str">
        <f>VLOOKUP(B28,'Base Hash Kiefs'!$A$6:$O$92,13,FALSE)</f>
        <v>brun clair à brun foncé</v>
      </c>
      <c r="I28" s="410" t="str">
        <f>VLOOKUP(B28,'Base Hash Kiefs'!$A$6:$O$92,14,FALSE)</f>
        <v>malléable</v>
      </c>
    </row>
    <row r="29" spans="1:9" s="406" customFormat="1" ht="24.75" customHeight="1" x14ac:dyDescent="0.35">
      <c r="A29" s="407" t="str">
        <f>VLOOKUP(B29,'Base Hash Kiefs'!$A$6:$O$92,11,FALSE)</f>
        <v>3 g</v>
      </c>
      <c r="B29" s="412" t="s">
        <v>203</v>
      </c>
      <c r="C29" s="408" t="str">
        <f>VLOOKUP(B29,'Base Hash Kiefs'!$A$6:$O$92,8,FALSE)</f>
        <v>Good Supply</v>
      </c>
      <c r="D29" s="409">
        <f>VLOOKUP(B29,'Base Hash Kiefs'!$A$6:$O$92,15,FALSE)</f>
        <v>43.5</v>
      </c>
      <c r="E29" s="413">
        <v>0.26</v>
      </c>
      <c r="F29" s="413">
        <v>0.11</v>
      </c>
      <c r="G29" s="408" t="str">
        <f>VLOOKUP(B29,'Base Hash Kiefs'!$A$6:$O$92,3,FALSE)</f>
        <v>-</v>
      </c>
      <c r="H29" s="410" t="str">
        <f>VLOOKUP(B29,'Base Hash Kiefs'!$A$6:$O$92,13,FALSE)</f>
        <v>brun foncé à noir</v>
      </c>
      <c r="I29" s="410" t="str">
        <f>VLOOKUP(B29,'Base Hash Kiefs'!$A$6:$O$92,14,FALSE)</f>
        <v>malléable à résineux</v>
      </c>
    </row>
    <row r="30" spans="1:9" s="406" customFormat="1" ht="24.75" customHeight="1" x14ac:dyDescent="0.35">
      <c r="A30" s="407" t="str">
        <f>VLOOKUP(B30,'Base Hash Kiefs'!$A$6:$O$92,11,FALSE)</f>
        <v>3 g</v>
      </c>
      <c r="B30" s="412" t="s">
        <v>207</v>
      </c>
      <c r="C30" s="408" t="str">
        <f>VLOOKUP(B30,'Base Hash Kiefs'!$A$6:$O$92,8,FALSE)</f>
        <v>Tremblant Cannabis</v>
      </c>
      <c r="D30" s="409">
        <f>VLOOKUP(B30,'Base Hash Kiefs'!$A$6:$O$92,15,FALSE)</f>
        <v>48</v>
      </c>
      <c r="E30" s="413">
        <v>0.26</v>
      </c>
      <c r="F30" s="413">
        <v>0.08</v>
      </c>
      <c r="G30" s="408" t="str">
        <f>VLOOKUP(B30,'Base Hash Kiefs'!$A$6:$O$92,3,FALSE)</f>
        <v>Qc</v>
      </c>
      <c r="H30" s="410" t="str">
        <f>VLOOKUP(B30,'Base Hash Kiefs'!$A$6:$O$92,13,FALSE)</f>
        <v>Brun foncé à noir</v>
      </c>
      <c r="I30" s="410" t="str">
        <f>VLOOKUP(B30,'Base Hash Kiefs'!$A$6:$O$92,14,FALSE)</f>
        <v>Malléable à résineux</v>
      </c>
    </row>
    <row r="31" spans="1:9" s="406" customFormat="1" ht="24.75" customHeight="1" x14ac:dyDescent="0.35">
      <c r="A31" s="407" t="str">
        <f>VLOOKUP(B31,'Base Hash Kiefs'!$A$6:$O$92,11,FALSE)</f>
        <v>3 g</v>
      </c>
      <c r="B31" s="412" t="s">
        <v>208</v>
      </c>
      <c r="C31" s="408" t="str">
        <f>VLOOKUP(B31,'Base Hash Kiefs'!$A$6:$O$92,8,FALSE)</f>
        <v>Highly Dutch Organic</v>
      </c>
      <c r="D31" s="409">
        <f>VLOOKUP(B31,'Base Hash Kiefs'!$A$6:$O$92,15,FALSE)</f>
        <v>48</v>
      </c>
      <c r="E31" s="413">
        <v>0</v>
      </c>
      <c r="F31" s="413">
        <v>0.26</v>
      </c>
      <c r="G31" s="408" t="str">
        <f>VLOOKUP(B31,'Base Hash Kiefs'!$A$6:$O$92,3,FALSE)</f>
        <v>-</v>
      </c>
      <c r="H31" s="410" t="str">
        <f>VLOOKUP(B31,'Base Hash Kiefs'!$A$6:$O$92,13,FALSE)</f>
        <v>brun foncé à noir</v>
      </c>
      <c r="I31" s="410" t="str">
        <f>VLOOKUP(B31,'Base Hash Kiefs'!$A$6:$O$92,14,FALSE)</f>
        <v>malléable à résineux</v>
      </c>
    </row>
    <row r="32" spans="1:9" s="406" customFormat="1" ht="24.75" customHeight="1" x14ac:dyDescent="0.35">
      <c r="A32" s="411" t="str">
        <f>VLOOKUP(B32,'Base Hash Kiefs'!$A$6:$O$92,11,FALSE)</f>
        <v>3,5 g</v>
      </c>
      <c r="B32" s="412" t="s">
        <v>209</v>
      </c>
      <c r="C32" s="552" t="str">
        <f>VLOOKUP(B32,'Base Hash Kiefs'!$A$6:$O$92,8,FALSE)</f>
        <v>Bleuh</v>
      </c>
      <c r="D32" s="553">
        <f>VLOOKUP(B32,'Base Hash Kiefs'!$A$6:$O$92,15,FALSE)</f>
        <v>55.9</v>
      </c>
      <c r="E32" s="413">
        <v>0.28000000000000003</v>
      </c>
      <c r="F32" s="413">
        <v>0.03</v>
      </c>
      <c r="G32" s="552" t="str">
        <f>VLOOKUP(B32,'Base Hash Kiefs'!$A$6:$O$92,3,FALSE)</f>
        <v>-</v>
      </c>
      <c r="H32" s="554" t="str">
        <f>VLOOKUP(B32,'Base Hash Kiefs'!$A$6:$O$92,13,FALSE)</f>
        <v>Brun clair à Brun foncé</v>
      </c>
      <c r="I32" s="554" t="str">
        <f>VLOOKUP(B32,'Base Hash Kiefs'!$A$6:$O$92,14,FALSE)</f>
        <v>Malléable à résineux</v>
      </c>
    </row>
    <row r="33" spans="1:9" s="406" customFormat="1" ht="24.75" customHeight="1" x14ac:dyDescent="0.35">
      <c r="A33" s="407" t="str">
        <f>VLOOKUP(B33,'Base Hash Kiefs'!$A$6:$O$92,11,FALSE)</f>
        <v>3,5 g</v>
      </c>
      <c r="B33" s="412" t="s">
        <v>210</v>
      </c>
      <c r="C33" s="408" t="str">
        <f>VLOOKUP(B33,'Base Hash Kiefs'!$A$6:$O$92,8,FALSE)</f>
        <v>5 Points Cannabis</v>
      </c>
      <c r="D33" s="409">
        <f>VLOOKUP(B33,'Base Hash Kiefs'!$A$6:$O$92,15,FALSE)</f>
        <v>49.9</v>
      </c>
      <c r="E33" s="413">
        <v>0.28000000000000003</v>
      </c>
      <c r="F33" s="413">
        <v>0.02</v>
      </c>
      <c r="G33" s="408" t="str">
        <f>VLOOKUP(B33,'Base Hash Kiefs'!$A$6:$O$92,3,FALSE)</f>
        <v>Qc</v>
      </c>
      <c r="H33" s="410" t="str">
        <f>VLOOKUP(B33,'Base Hash Kiefs'!$A$6:$O$92,13,FALSE)</f>
        <v>Brun clair à Brun foncé</v>
      </c>
      <c r="I33" s="410" t="str">
        <f>VLOOKUP(B33,'Base Hash Kiefs'!$A$6:$O$92,14,FALSE)</f>
        <v>Malléable à résineux</v>
      </c>
    </row>
    <row r="34" spans="1:9" s="406" customFormat="1" ht="24.75" customHeight="1" x14ac:dyDescent="0.35">
      <c r="A34" s="407" t="str">
        <f>VLOOKUP(B34,'Base Hash Kiefs'!$A$6:$O$92,11,FALSE)</f>
        <v>3,5 g</v>
      </c>
      <c r="B34" s="412" t="s">
        <v>1040</v>
      </c>
      <c r="C34" s="408" t="str">
        <f>VLOOKUP(B34,'Base Hash Kiefs'!$A$6:$O$92,8,FALSE)</f>
        <v>1964</v>
      </c>
      <c r="D34" s="409">
        <f>VLOOKUP(B34,'Base Hash Kiefs'!$A$6:$O$92,15,FALSE)</f>
        <v>49.9</v>
      </c>
      <c r="E34" s="413">
        <v>0.28000000000000003</v>
      </c>
      <c r="F34" s="413">
        <v>0.01</v>
      </c>
      <c r="G34" s="408" t="str">
        <f>VLOOKUP(B34,'Base Hash Kiefs'!$A$6:$O$92,3,FALSE)</f>
        <v>-</v>
      </c>
      <c r="H34" s="410" t="str">
        <f>VLOOKUP(B34,'Base Hash Kiefs'!$A$6:$O$92,13,FALSE)</f>
        <v>Brun foncé à noir</v>
      </c>
      <c r="I34" s="410" t="str">
        <f>VLOOKUP(B34,'Base Hash Kiefs'!$A$6:$O$92,14,FALSE)</f>
        <v>Malléable à résineux</v>
      </c>
    </row>
    <row r="35" spans="1:9" s="406" customFormat="1" ht="24.75" customHeight="1" x14ac:dyDescent="0.35">
      <c r="A35" s="407" t="str">
        <f>VLOOKUP(B35,'Base Hash Kiefs'!$A$6:$O$92,11,FALSE)</f>
        <v>3,5 g</v>
      </c>
      <c r="B35" s="412" t="s">
        <v>211</v>
      </c>
      <c r="C35" s="408" t="str">
        <f>VLOOKUP(B35,'Base Hash Kiefs'!$A$6:$O$92,8,FALSE)</f>
        <v>XK</v>
      </c>
      <c r="D35" s="409">
        <f>VLOOKUP(B35,'Base Hash Kiefs'!$A$6:$O$92,15,FALSE)</f>
        <v>55.4</v>
      </c>
      <c r="E35" s="413">
        <v>0.27</v>
      </c>
      <c r="F35" s="413" t="s">
        <v>87</v>
      </c>
      <c r="G35" s="408" t="str">
        <f>VLOOKUP(B35,'Base Hash Kiefs'!$A$6:$O$92,3,FALSE)</f>
        <v>-</v>
      </c>
      <c r="H35" s="410" t="str">
        <f>VLOOKUP(B35,'Base Hash Kiefs'!$A$6:$O$92,13,FALSE)</f>
        <v>brun clair à brun foncé</v>
      </c>
      <c r="I35" s="410" t="str">
        <f>VLOOKUP(B35,'Base Hash Kiefs'!$A$6:$O$92,14,FALSE)</f>
        <v>dur à friable</v>
      </c>
    </row>
    <row r="36" spans="1:9" s="406" customFormat="1" ht="24.75" customHeight="1" x14ac:dyDescent="0.35">
      <c r="A36" s="407" t="str">
        <f>VLOOKUP(B36,'Base Hash Kiefs'!$A$6:$O$92,11,FALSE)</f>
        <v>3,5 g</v>
      </c>
      <c r="B36" s="412" t="s">
        <v>1052</v>
      </c>
      <c r="C36" s="408" t="str">
        <f>VLOOKUP(B36,'Base Hash Kiefs'!$A$6:$O$92,8,FALSE)</f>
        <v>Vert</v>
      </c>
      <c r="D36" s="409">
        <f>VLOOKUP(B36,'Base Hash Kiefs'!$A$6:$O$92,15,FALSE)</f>
        <v>49.1</v>
      </c>
      <c r="E36" s="413">
        <v>0.26</v>
      </c>
      <c r="F36" s="413">
        <v>0.26</v>
      </c>
      <c r="G36" s="408" t="str">
        <f>VLOOKUP(B36,'Base Hash Kiefs'!$A$6:$O$92,3,FALSE)</f>
        <v>-</v>
      </c>
      <c r="H36" s="410" t="str">
        <f>VLOOKUP(B36,'Base Hash Kiefs'!$A$6:$O$92,13,FALSE)</f>
        <v>Verdâtre à brun</v>
      </c>
      <c r="I36" s="410" t="str">
        <f>VLOOKUP(B36,'Base Hash Kiefs'!$A$6:$O$92,14,FALSE)</f>
        <v>Malléable à résineux</v>
      </c>
    </row>
    <row r="37" spans="1:9" s="406" customFormat="1" ht="24.75" customHeight="1" x14ac:dyDescent="0.35">
      <c r="A37" s="407" t="str">
        <f>VLOOKUP(B37,'Base Hash Kiefs'!$A$6:$O$92,11,FALSE)</f>
        <v>3,5 g</v>
      </c>
      <c r="B37" s="412" t="s">
        <v>1028</v>
      </c>
      <c r="C37" s="408" t="str">
        <f>VLOOKUP(B37,'Base Hash Kiefs'!$A$6:$O$92,8,FALSE)</f>
        <v>Tremblant Cannabis</v>
      </c>
      <c r="D37" s="409">
        <f>VLOOKUP(B37,'Base Hash Kiefs'!$A$6:$O$92,15,FALSE)</f>
        <v>56.1</v>
      </c>
      <c r="E37" s="413">
        <v>0.26</v>
      </c>
      <c r="F37" s="413">
        <v>0.09</v>
      </c>
      <c r="G37" s="408" t="str">
        <f>VLOOKUP(B37,'Base Hash Kiefs'!$A$6:$O$92,3,FALSE)</f>
        <v>Qc</v>
      </c>
      <c r="H37" s="410" t="str">
        <f>VLOOKUP(B37,'Base Hash Kiefs'!$A$6:$O$92,13,FALSE)</f>
        <v>Brun foncé à noir</v>
      </c>
      <c r="I37" s="410" t="str">
        <f>VLOOKUP(B37,'Base Hash Kiefs'!$A$6:$O$92,14,FALSE)</f>
        <v>Malléable à résineux</v>
      </c>
    </row>
    <row r="38" spans="1:9" s="406" customFormat="1" ht="24.75" customHeight="1" x14ac:dyDescent="0.35">
      <c r="A38" s="407" t="str">
        <f>VLOOKUP(B38,'Base Hash Kiefs'!$A$6:$O$92,11,FALSE)</f>
        <v>3,5 g</v>
      </c>
      <c r="B38" s="412" t="s">
        <v>212</v>
      </c>
      <c r="C38" s="408" t="str">
        <f>VLOOKUP(B38,'Base Hash Kiefs'!$A$6:$O$92,8,FALSE)</f>
        <v>Good Supply</v>
      </c>
      <c r="D38" s="409">
        <f>VLOOKUP(B38,'Base Hash Kiefs'!$A$6:$O$92,15,FALSE)</f>
        <v>50.6</v>
      </c>
      <c r="E38" s="413">
        <v>0.26</v>
      </c>
      <c r="F38" s="413">
        <v>0.11</v>
      </c>
      <c r="G38" s="408" t="str">
        <f>VLOOKUP(B38,'Base Hash Kiefs'!$A$6:$O$92,3,FALSE)</f>
        <v>-</v>
      </c>
      <c r="H38" s="410" t="str">
        <f>VLOOKUP(B38,'Base Hash Kiefs'!$A$6:$O$92,13,FALSE)</f>
        <v>Brun foncé à noir</v>
      </c>
      <c r="I38" s="410" t="str">
        <f>VLOOKUP(B38,'Base Hash Kiefs'!$A$6:$O$92,14,FALSE)</f>
        <v>Malléable à résineux</v>
      </c>
    </row>
    <row r="39" spans="1:9" s="406" customFormat="1" ht="23.25" customHeight="1" x14ac:dyDescent="0.35">
      <c r="A39" s="228"/>
      <c r="B39" s="229"/>
      <c r="C39" s="230"/>
      <c r="D39" s="231"/>
      <c r="E39" s="232"/>
      <c r="F39" s="233"/>
      <c r="G39" s="233"/>
      <c r="H39" s="3"/>
      <c r="I39" s="2"/>
    </row>
    <row r="40" spans="1:9" ht="27" customHeight="1" x14ac:dyDescent="0.45">
      <c r="A40" s="638" t="s">
        <v>213</v>
      </c>
      <c r="B40" s="639"/>
      <c r="C40" s="639"/>
      <c r="D40" s="639"/>
      <c r="E40" s="639"/>
      <c r="F40" s="639"/>
      <c r="G40" s="639"/>
      <c r="H40" s="639"/>
      <c r="I40" s="399"/>
    </row>
    <row r="41" spans="1:9" s="399" customFormat="1" ht="28.5" x14ac:dyDescent="0.45">
      <c r="A41" s="230" t="s">
        <v>5</v>
      </c>
      <c r="B41" s="423" t="s">
        <v>3</v>
      </c>
      <c r="C41" s="423" t="s">
        <v>4</v>
      </c>
      <c r="D41" s="424" t="s">
        <v>6</v>
      </c>
      <c r="E41" s="425" t="s">
        <v>40</v>
      </c>
      <c r="F41" s="425" t="s">
        <v>41</v>
      </c>
      <c r="G41" s="423" t="s">
        <v>136</v>
      </c>
      <c r="H41" s="423" t="s">
        <v>214</v>
      </c>
      <c r="I41"/>
    </row>
    <row r="42" spans="1:9" s="406" customFormat="1" ht="23.25" customHeight="1" x14ac:dyDescent="0.35">
      <c r="A42" s="411" t="str">
        <f>VLOOKUP(B42,Tableau19[],11,FALSE)</f>
        <v>1 x 0,5 g</v>
      </c>
      <c r="B42" s="505" t="s">
        <v>215</v>
      </c>
      <c r="C42" s="411" t="str">
        <f>VLOOKUP(B42,Tableau19[],5,FALSE)</f>
        <v>Tenzo</v>
      </c>
      <c r="D42" s="506">
        <f>VLOOKUP(B42,Tableau19[],12,FALSE)</f>
        <v>10.7</v>
      </c>
      <c r="E42" s="507">
        <v>0.28000000000000003</v>
      </c>
      <c r="F42" s="507" t="s">
        <v>87</v>
      </c>
      <c r="G42" s="507"/>
      <c r="H42" s="446" t="str">
        <f>VLOOKUP(B42,Tableau19[],13,FALSE)</f>
        <v>Fleurs + Haschich</v>
      </c>
    </row>
    <row r="43" spans="1:9" s="406" customFormat="1" ht="23.25" customHeight="1" x14ac:dyDescent="0.35">
      <c r="A43" s="411" t="str">
        <f>VLOOKUP(B43,Tableau19[],11,FALSE)</f>
        <v>1 x 0,5 g</v>
      </c>
      <c r="B43" s="426" t="s">
        <v>219</v>
      </c>
      <c r="C43" s="411" t="str">
        <f>VLOOKUP(B43,Tableau19[],5,FALSE)</f>
        <v>Good Supply</v>
      </c>
      <c r="D43" s="550">
        <f>VLOOKUP(B43,Tableau19[],12,FALSE)</f>
        <v>8</v>
      </c>
      <c r="E43" s="427">
        <v>0.26</v>
      </c>
      <c r="F43" s="427" t="s">
        <v>87</v>
      </c>
      <c r="G43" s="503"/>
      <c r="H43" s="446" t="str">
        <f>VLOOKUP(B43,Tableau19[],13,FALSE)</f>
        <v>Fleurs + Haschich</v>
      </c>
    </row>
    <row r="44" spans="1:9" s="406" customFormat="1" ht="23.25" customHeight="1" x14ac:dyDescent="0.35">
      <c r="A44" s="411" t="str">
        <f>VLOOKUP(B44,Tableau19[],11,FALSE)</f>
        <v>1 x 0,5 g</v>
      </c>
      <c r="B44" s="426" t="s">
        <v>218</v>
      </c>
      <c r="C44" s="411" t="str">
        <f>VLOOKUP(B44,Tableau19[],5,FALSE)</f>
        <v>Simply Bare</v>
      </c>
      <c r="D44" s="506">
        <f>VLOOKUP(B44,Tableau19[],12,FALSE)</f>
        <v>11.5</v>
      </c>
      <c r="E44" s="427">
        <v>0.26</v>
      </c>
      <c r="F44" s="427"/>
      <c r="G44" s="551"/>
      <c r="H44" s="446" t="str">
        <f>VLOOKUP(B44,Tableau19[],13,FALSE)</f>
        <v>Fleurs + Haschich</v>
      </c>
    </row>
    <row r="45" spans="1:9" s="406" customFormat="1" ht="23.25" customHeight="1" x14ac:dyDescent="0.35">
      <c r="A45" s="411" t="str">
        <f>VLOOKUP(B45,Tableau19[],11,FALSE)</f>
        <v>1 x 0,5 g</v>
      </c>
      <c r="B45" s="426" t="s">
        <v>217</v>
      </c>
      <c r="C45" s="411" t="str">
        <f>VLOOKUP(B45,Tableau19[],5,FALSE)</f>
        <v>The Loud Plug</v>
      </c>
      <c r="D45" s="506">
        <f>VLOOKUP(B45,Tableau19[],12,FALSE)</f>
        <v>11.4</v>
      </c>
      <c r="E45" s="427">
        <v>0.3</v>
      </c>
      <c r="F45" s="427" t="s">
        <v>87</v>
      </c>
      <c r="G45" s="551"/>
      <c r="H45" s="446" t="str">
        <f>VLOOKUP(B45,Tableau19[],13,FALSE)</f>
        <v>Fleurs + Haschich</v>
      </c>
    </row>
    <row r="46" spans="1:9" s="406" customFormat="1" ht="23.25" customHeight="1" x14ac:dyDescent="0.35">
      <c r="A46" s="411" t="str">
        <f>VLOOKUP(B46,Tableau19[],11,FALSE)</f>
        <v>1 x 0,7 g</v>
      </c>
      <c r="B46" s="426" t="s">
        <v>221</v>
      </c>
      <c r="C46" s="411" t="str">
        <f>VLOOKUP(B46,Tableau19[],5,FALSE)</f>
        <v>1964</v>
      </c>
      <c r="D46" s="506">
        <f>VLOOKUP(B46,Tableau19[],12,FALSE)</f>
        <v>14.8</v>
      </c>
      <c r="E46" s="427">
        <v>0.28999999999999998</v>
      </c>
      <c r="F46" s="427" t="s">
        <v>87</v>
      </c>
      <c r="G46" s="503"/>
      <c r="H46" s="446" t="str">
        <f>VLOOKUP(B46,Tableau19[],13,FALSE)</f>
        <v>Fleurs + Résine</v>
      </c>
    </row>
    <row r="47" spans="1:9" s="406" customFormat="1" ht="23.25" customHeight="1" x14ac:dyDescent="0.35">
      <c r="A47" s="411" t="str">
        <f>VLOOKUP(B47,Tableau19[],11,FALSE)</f>
        <v>1 x 1 g</v>
      </c>
      <c r="B47" s="426" t="s">
        <v>225</v>
      </c>
      <c r="C47" s="411" t="str">
        <f>VLOOKUP(B47,Tableau19[],5,FALSE)</f>
        <v>Good Supply</v>
      </c>
      <c r="D47" s="506">
        <f>VLOOKUP(B47,Tableau19[],12,FALSE)</f>
        <v>14.9</v>
      </c>
      <c r="E47" s="427">
        <v>0.28000000000000003</v>
      </c>
      <c r="F47" s="427" t="s">
        <v>87</v>
      </c>
      <c r="G47" s="503"/>
      <c r="H47" s="446" t="str">
        <f>VLOOKUP(B47,Tableau19[],13,FALSE)</f>
        <v>Fleurs + Haschich</v>
      </c>
    </row>
    <row r="48" spans="1:9" s="406" customFormat="1" ht="23.25" customHeight="1" x14ac:dyDescent="0.35">
      <c r="A48" s="411" t="str">
        <f>VLOOKUP(B48,Tableau19[],11,FALSE)</f>
        <v>1 x 1 g</v>
      </c>
      <c r="B48" s="426" t="s">
        <v>223</v>
      </c>
      <c r="C48" s="411" t="str">
        <f>VLOOKUP(B48,Tableau19[],5,FALSE)</f>
        <v>Carmel Cannabis</v>
      </c>
      <c r="D48" s="506">
        <f>VLOOKUP(B48,Tableau19[],12,FALSE)</f>
        <v>18.100000000000001</v>
      </c>
      <c r="E48" s="427">
        <v>0.27</v>
      </c>
      <c r="F48" s="427" t="s">
        <v>87</v>
      </c>
      <c r="G48" s="503"/>
      <c r="H48" s="446" t="s">
        <v>1035</v>
      </c>
    </row>
    <row r="49" spans="1:8" s="406" customFormat="1" ht="23.25" customHeight="1" x14ac:dyDescent="0.35">
      <c r="A49" s="411" t="str">
        <f>VLOOKUP(B49,Tableau19[],11,FALSE)</f>
        <v>1 x 1g</v>
      </c>
      <c r="B49" s="426" t="s">
        <v>1032</v>
      </c>
      <c r="C49" s="411" t="str">
        <f>VLOOKUP(B49,Tableau19[],5,FALSE)</f>
        <v>5 Points Cannabis</v>
      </c>
      <c r="D49" s="506">
        <f>VLOOKUP(B49,Tableau19[],12,FALSE)</f>
        <v>23.9</v>
      </c>
      <c r="E49" s="427">
        <v>0.27</v>
      </c>
      <c r="F49" s="427">
        <v>0.02</v>
      </c>
      <c r="G49" s="503"/>
      <c r="H49" s="446" t="str">
        <f>VLOOKUP(B49,Tableau19[],13,FALSE)</f>
        <v>Haschich</v>
      </c>
    </row>
    <row r="50" spans="1:8" s="406" customFormat="1" ht="23.25" customHeight="1" x14ac:dyDescent="0.35">
      <c r="A50" s="411" t="str">
        <f>VLOOKUP(B50,Tableau19[],11,FALSE)</f>
        <v>1 x 1g</v>
      </c>
      <c r="B50" s="426" t="s">
        <v>226</v>
      </c>
      <c r="C50" s="411">
        <f>VLOOKUP(B50,Tableau19[],5,FALSE)</f>
        <v>1964</v>
      </c>
      <c r="D50" s="550">
        <f>VLOOKUP(B50,Tableau19[],12,FALSE)</f>
        <v>16.899999999999999</v>
      </c>
      <c r="E50" s="427">
        <v>0.28000000000000003</v>
      </c>
      <c r="F50" s="427" t="s">
        <v>87</v>
      </c>
      <c r="G50" s="503"/>
      <c r="H50" s="446" t="str">
        <f>VLOOKUP(B50,Tableau19[],13,FALSE)</f>
        <v>Fleurs + Haschich</v>
      </c>
    </row>
    <row r="51" spans="1:8" s="406" customFormat="1" ht="23.25" customHeight="1" x14ac:dyDescent="0.35">
      <c r="A51" s="411" t="str">
        <f>VLOOKUP(B51,Tableau19[],11,FALSE)</f>
        <v>2 x 0,5g</v>
      </c>
      <c r="B51" s="426" t="s">
        <v>1029</v>
      </c>
      <c r="C51" s="411" t="str">
        <f>VLOOKUP(B51,Tableau19[],5,FALSE)</f>
        <v>7Acres</v>
      </c>
      <c r="D51" s="506">
        <f>VLOOKUP(B51,Tableau19[],12,FALSE)</f>
        <v>22.1</v>
      </c>
      <c r="E51" s="427">
        <v>0.28999999999999998</v>
      </c>
      <c r="F51" s="427" t="s">
        <v>87</v>
      </c>
      <c r="G51" s="503"/>
      <c r="H51" s="446" t="str">
        <f>VLOOKUP(B51,Tableau19[],13,FALSE)</f>
        <v>Haschich</v>
      </c>
    </row>
    <row r="52" spans="1:8" s="406" customFormat="1" ht="23.25" customHeight="1" x14ac:dyDescent="0.35">
      <c r="A52" s="411" t="str">
        <f>VLOOKUP(B52,Tableau19[],11,FALSE)</f>
        <v>2 x 0,5 g</v>
      </c>
      <c r="B52" s="426" t="s">
        <v>227</v>
      </c>
      <c r="C52" s="411" t="str">
        <f>VLOOKUP(B52,Tableau19[],5,FALSE)</f>
        <v>Nordique Royale</v>
      </c>
      <c r="D52" s="550">
        <f>VLOOKUP(B52,Tableau19[],12,FALSE)</f>
        <v>17.5</v>
      </c>
      <c r="E52" s="427">
        <v>0.25</v>
      </c>
      <c r="F52" s="427"/>
      <c r="G52" s="503"/>
      <c r="H52" s="446" t="str">
        <f>VLOOKUP(B52,Tableau19[],13,FALSE)</f>
        <v>Fleurs + Diamants</v>
      </c>
    </row>
    <row r="53" spans="1:8" s="406" customFormat="1" ht="23.25" customHeight="1" x14ac:dyDescent="0.35">
      <c r="A53" s="411" t="str">
        <f>VLOOKUP(B53,Tableau19[],11,FALSE)</f>
        <v>3 x 0,5 g</v>
      </c>
      <c r="B53" s="426" t="s">
        <v>231</v>
      </c>
      <c r="C53" s="411" t="str">
        <f>VLOOKUP(B53,Tableau19[],5,FALSE)</f>
        <v>Pure Laine Cannabis</v>
      </c>
      <c r="D53" s="550">
        <f>VLOOKUP(B53,Tableau19[],12,FALSE)</f>
        <v>23.4</v>
      </c>
      <c r="E53" s="427">
        <v>0.28999999999999998</v>
      </c>
      <c r="F53" s="427"/>
      <c r="G53" s="503"/>
      <c r="H53" s="446" t="str">
        <f>VLOOKUP(B53,Tableau19[],13,FALSE)</f>
        <v>Fleurs + Distillat</v>
      </c>
    </row>
    <row r="54" spans="1:8" s="406" customFormat="1" ht="23.25" customHeight="1" x14ac:dyDescent="0.35">
      <c r="A54" s="411" t="str">
        <f>VLOOKUP(B54,Tableau19[],11,FALSE)</f>
        <v>3 x 0,5 g</v>
      </c>
      <c r="B54" s="426" t="s">
        <v>229</v>
      </c>
      <c r="C54" s="411" t="str">
        <f>VLOOKUP(B54,Tableau19[],5,FALSE)</f>
        <v>Good Supply</v>
      </c>
      <c r="D54" s="506">
        <f>VLOOKUP(B54,Tableau19[],12,FALSE)</f>
        <v>24.6</v>
      </c>
      <c r="E54" s="427">
        <v>0.27</v>
      </c>
      <c r="F54" s="427" t="s">
        <v>87</v>
      </c>
      <c r="G54" s="503"/>
      <c r="H54" s="446" t="str">
        <f>VLOOKUP(B54,Tableau19[],13,FALSE)</f>
        <v>Fleurs + Haschich</v>
      </c>
    </row>
    <row r="55" spans="1:8" s="406" customFormat="1" ht="23.25" customHeight="1" x14ac:dyDescent="0.35">
      <c r="A55" s="411" t="str">
        <f>VLOOKUP(B55,Tableau19[],11,FALSE)</f>
        <v>3 x 0,5 g</v>
      </c>
      <c r="B55" s="426" t="s">
        <v>228</v>
      </c>
      <c r="C55" s="411" t="str">
        <f>VLOOKUP(B55,Tableau19[],5,FALSE)</f>
        <v>Nordique Royale</v>
      </c>
      <c r="D55" s="506">
        <f>VLOOKUP(B55,Tableau19[],12,FALSE)</f>
        <v>21.5</v>
      </c>
      <c r="E55" s="427">
        <v>0.28000000000000003</v>
      </c>
      <c r="F55" s="427" t="s">
        <v>87</v>
      </c>
      <c r="G55" s="503"/>
      <c r="H55" s="446" t="str">
        <f>VLOOKUP(B55,Tableau19[],13,FALSE)</f>
        <v>Fleurs + Haschich</v>
      </c>
    </row>
    <row r="56" spans="1:8" s="406" customFormat="1" ht="23.25" customHeight="1" x14ac:dyDescent="0.35">
      <c r="A56" s="411" t="str">
        <f>VLOOKUP(B56,Tableau19[],11,FALSE)</f>
        <v>3 x 0,5 g</v>
      </c>
      <c r="B56" s="426" t="s">
        <v>230</v>
      </c>
      <c r="C56" s="411" t="str">
        <f>VLOOKUP(B56,Tableau19[],5,FALSE)</f>
        <v>Nordique Royale</v>
      </c>
      <c r="D56" s="506">
        <f>VLOOKUP(B56,Tableau19[],12,FALSE)</f>
        <v>21.5</v>
      </c>
      <c r="E56" s="427">
        <v>0.28000000000000003</v>
      </c>
      <c r="F56" s="427" t="s">
        <v>87</v>
      </c>
      <c r="G56" s="503"/>
      <c r="H56" s="446" t="str">
        <f>VLOOKUP(B56,Tableau19[],13,FALSE)</f>
        <v>Fleurs + Haschich</v>
      </c>
    </row>
    <row r="57" spans="1:8" s="406" customFormat="1" ht="23.25" customHeight="1" x14ac:dyDescent="0.35">
      <c r="A57" s="411" t="str">
        <f>VLOOKUP(B57,Tableau19[],11,FALSE)</f>
        <v>3 x 0,5 g</v>
      </c>
      <c r="B57" s="426" t="s">
        <v>232</v>
      </c>
      <c r="C57" s="411" t="str">
        <f>VLOOKUP(B57,Tableau19[],5,FALSE)</f>
        <v>Blissed</v>
      </c>
      <c r="D57" s="550">
        <f>VLOOKUP(B57,Tableau19[],12,FALSE)</f>
        <v>24.5</v>
      </c>
      <c r="E57" s="427">
        <v>0.13</v>
      </c>
      <c r="F57" s="427">
        <v>0.13</v>
      </c>
      <c r="G57" s="503"/>
      <c r="H57" s="446" t="str">
        <f>VLOOKUP(B57,Tableau19[],13,FALSE)</f>
        <v>Fleurs + Diamants</v>
      </c>
    </row>
    <row r="58" spans="1:8" s="406" customFormat="1" ht="23.25" customHeight="1" x14ac:dyDescent="0.35">
      <c r="A58" s="411" t="str">
        <f>VLOOKUP(B58,Tableau19[],11,FALSE)</f>
        <v>3 x 0,5 g</v>
      </c>
      <c r="B58" s="426" t="s">
        <v>994</v>
      </c>
      <c r="C58" s="411" t="str">
        <f>VLOOKUP(B58,Tableau19[],5,FALSE)</f>
        <v>Les Essentiels Nuit</v>
      </c>
      <c r="D58" s="550">
        <f>VLOOKUP(B58,Tableau19[],12,FALSE)</f>
        <v>28.6</v>
      </c>
      <c r="E58" s="427">
        <v>0.12</v>
      </c>
      <c r="F58" s="427">
        <v>0.3</v>
      </c>
      <c r="G58" s="503"/>
      <c r="H58" s="446" t="str">
        <f>VLOOKUP(B58,Tableau19[],13,FALSE)</f>
        <v>Fleurs + Haschich</v>
      </c>
    </row>
    <row r="59" spans="1:8" s="406" customFormat="1" ht="23.25" customHeight="1" x14ac:dyDescent="0.35">
      <c r="A59" s="411" t="str">
        <f>VLOOKUP(B59,Tableau19[],11,FALSE)</f>
        <v>3 x 0,6 g</v>
      </c>
      <c r="B59" s="426" t="s">
        <v>234</v>
      </c>
      <c r="C59" s="411" t="str">
        <f>VLOOKUP(B59,Tableau19[],5,FALSE)</f>
        <v>Nugz</v>
      </c>
      <c r="D59" s="506">
        <f>VLOOKUP(B59,Tableau19[],12,FALSE)</f>
        <v>23.4</v>
      </c>
      <c r="E59" s="427">
        <v>0.28999999999999998</v>
      </c>
      <c r="F59" s="427"/>
      <c r="G59" s="503"/>
      <c r="H59" s="446" t="str">
        <f>VLOOKUP(B59,Tableau19[],13,FALSE)</f>
        <v>Fleurs + Kief</v>
      </c>
    </row>
    <row r="60" spans="1:8" s="406" customFormat="1" ht="23.25" customHeight="1" x14ac:dyDescent="0.35">
      <c r="A60" s="411" t="str">
        <f>VLOOKUP(B60,Tableau19[],11,FALSE)</f>
        <v>3 x 0,6 g</v>
      </c>
      <c r="B60" s="426" t="s">
        <v>239</v>
      </c>
      <c r="C60" s="411" t="str">
        <f>VLOOKUP(B60,Tableau19[],5,FALSE)</f>
        <v>Nugz</v>
      </c>
      <c r="D60" s="550">
        <f>VLOOKUP(B60,Tableau19[],12,FALSE)</f>
        <v>23.4</v>
      </c>
      <c r="E60" s="427">
        <v>0.28999999999999998</v>
      </c>
      <c r="F60" s="427"/>
      <c r="G60" s="503"/>
      <c r="H60" s="446" t="str">
        <f>VLOOKUP(B60,Tableau19[],13,FALSE)</f>
        <v>Fleurs + Kief</v>
      </c>
    </row>
    <row r="61" spans="1:8" s="406" customFormat="1" ht="23.25" customHeight="1" x14ac:dyDescent="0.35">
      <c r="A61" s="411" t="str">
        <f>VLOOKUP(B61,Tableau19[],11,FALSE)</f>
        <v>3 x 0,6 g</v>
      </c>
      <c r="B61" s="426" t="s">
        <v>236</v>
      </c>
      <c r="C61" s="411" t="str">
        <f>VLOOKUP(B61,Tableau19[],5,FALSE)</f>
        <v>Nugz</v>
      </c>
      <c r="D61" s="506">
        <f>VLOOKUP(B61,Tableau19[],12,FALSE)</f>
        <v>23.4</v>
      </c>
      <c r="E61" s="427">
        <v>0.28999999999999998</v>
      </c>
      <c r="F61" s="427" t="s">
        <v>87</v>
      </c>
      <c r="G61" s="503"/>
      <c r="H61" s="446" t="str">
        <f>VLOOKUP(B61,Tableau19[],13,FALSE)</f>
        <v>Fleurs + Kief</v>
      </c>
    </row>
    <row r="62" spans="1:8" s="406" customFormat="1" ht="24" customHeight="1" x14ac:dyDescent="0.35">
      <c r="A62" s="411" t="str">
        <f>VLOOKUP(B62,Tableau19[],11,FALSE)</f>
        <v>4 x 0,25 g</v>
      </c>
      <c r="B62" s="426" t="s">
        <v>240</v>
      </c>
      <c r="C62" s="411" t="str">
        <f>VLOOKUP(B62,Tableau19[],5,FALSE)</f>
        <v>Blissed</v>
      </c>
      <c r="D62" s="506">
        <f>VLOOKUP(B62,Tableau19[],12,FALSE)</f>
        <v>16.100000000000001</v>
      </c>
      <c r="E62" s="427">
        <v>0.18</v>
      </c>
      <c r="F62" s="427">
        <v>0.17</v>
      </c>
      <c r="G62" s="503"/>
      <c r="H62" s="446" t="str">
        <f>VLOOKUP(B62,Tableau19[],13,FALSE)</f>
        <v>Fleurs + Diamants</v>
      </c>
    </row>
    <row r="63" spans="1:8" s="406" customFormat="1" ht="24" customHeight="1" x14ac:dyDescent="0.35">
      <c r="A63" s="411" t="str">
        <f>VLOOKUP(B63,Tableau19[],11,FALSE)</f>
        <v>5 x 0,5 g</v>
      </c>
      <c r="B63" s="426" t="s">
        <v>989</v>
      </c>
      <c r="C63" s="411" t="str">
        <f>VLOOKUP(B63,Tableau19[],5,FALSE)</f>
        <v>Les Essentiels Jour</v>
      </c>
      <c r="D63" s="550">
        <f>VLOOKUP(B63,Tableau19[],12,FALSE)</f>
        <v>35.1</v>
      </c>
      <c r="E63" s="427">
        <v>0</v>
      </c>
      <c r="F63" s="427">
        <v>0.21</v>
      </c>
      <c r="G63" s="503"/>
      <c r="H63" s="446" t="str">
        <f>VLOOKUP(B63,Tableau19[],13,FALSE)</f>
        <v>Fleurs + Haschich</v>
      </c>
    </row>
    <row r="64" spans="1:8" s="406" customFormat="1" ht="24" customHeight="1" x14ac:dyDescent="0.35">
      <c r="A64" s="411" t="str">
        <f>VLOOKUP(B64,Tableau19[],11,FALSE)</f>
        <v>5 x 0,5 g</v>
      </c>
      <c r="B64" s="426" t="s">
        <v>242</v>
      </c>
      <c r="C64" s="411" t="str">
        <f>VLOOKUP(B64,Tableau19[],5,FALSE)</f>
        <v>Pure Laine</v>
      </c>
      <c r="D64" s="550">
        <f>VLOOKUP(B64,Tableau19[],12,FALSE)</f>
        <v>32.5</v>
      </c>
      <c r="E64" s="427">
        <v>0.28000000000000003</v>
      </c>
      <c r="F64" s="427"/>
      <c r="G64" s="503"/>
      <c r="H64" s="446" t="str">
        <f>VLOOKUP(B64,Tableau19[],13,FALSE)</f>
        <v>Fleurs + Distillat</v>
      </c>
    </row>
    <row r="65" spans="1:8" s="406" customFormat="1" ht="24" customHeight="1" x14ac:dyDescent="0.35">
      <c r="A65" s="411" t="str">
        <f>VLOOKUP(B65,Tableau19[],11,FALSE)</f>
        <v>3,5 g</v>
      </c>
      <c r="B65" s="426" t="s">
        <v>246</v>
      </c>
      <c r="C65" s="411" t="str">
        <f>VLOOKUP(B65,Tableau19[],5,FALSE)</f>
        <v>Irony</v>
      </c>
      <c r="D65" s="506">
        <f>VLOOKUP(B65,Tableau19[],12,FALSE)</f>
        <v>44.9</v>
      </c>
      <c r="E65" s="427">
        <v>0.26</v>
      </c>
      <c r="F65" s="427" t="s">
        <v>87</v>
      </c>
      <c r="G65" s="503"/>
      <c r="H65" s="446" t="str">
        <f>VLOOKUP(B65,Tableau19[],13,FALSE)</f>
        <v>Fleurs + Haschich</v>
      </c>
    </row>
    <row r="66" spans="1:8" ht="24.95" customHeight="1" x14ac:dyDescent="0.25">
      <c r="A66" s="228"/>
      <c r="B66" s="228"/>
      <c r="C66" s="228"/>
      <c r="D66" s="228"/>
      <c r="E66" s="228"/>
      <c r="F66" s="228"/>
      <c r="G66" s="228"/>
    </row>
    <row r="67" spans="1:8" ht="24.95" customHeight="1" x14ac:dyDescent="0.25">
      <c r="A67" s="228"/>
      <c r="B67" s="228"/>
      <c r="C67" s="228"/>
      <c r="D67" s="228"/>
      <c r="E67" s="228"/>
      <c r="F67" s="228"/>
      <c r="G67" s="228"/>
    </row>
    <row r="68" spans="1:8" ht="24.95" customHeight="1" x14ac:dyDescent="0.25">
      <c r="A68" s="228"/>
      <c r="B68" s="228"/>
      <c r="C68" s="228"/>
      <c r="D68" s="228"/>
      <c r="E68" s="228"/>
      <c r="F68" s="228"/>
      <c r="G68" s="228"/>
    </row>
    <row r="69" spans="1:8" ht="24.95" customHeight="1" x14ac:dyDescent="0.25">
      <c r="A69" s="228"/>
      <c r="B69" s="228"/>
      <c r="C69" s="228"/>
      <c r="D69" s="228"/>
      <c r="E69" s="228"/>
      <c r="F69" s="228"/>
      <c r="G69" s="228"/>
    </row>
    <row r="70" spans="1:8" ht="24.95" customHeight="1" x14ac:dyDescent="0.25">
      <c r="A70" s="228"/>
      <c r="B70" s="228"/>
      <c r="C70" s="228"/>
      <c r="D70" s="228"/>
      <c r="E70" s="228"/>
      <c r="F70" s="228"/>
      <c r="G70" s="228"/>
    </row>
    <row r="71" spans="1:8" ht="24.95" customHeight="1" x14ac:dyDescent="0.25">
      <c r="A71" s="228"/>
      <c r="B71" s="228"/>
      <c r="C71" s="228"/>
      <c r="D71" s="228"/>
      <c r="E71" s="228"/>
      <c r="F71" s="228"/>
      <c r="G71" s="228"/>
    </row>
    <row r="72" spans="1:8" ht="24.95" customHeight="1" x14ac:dyDescent="0.25">
      <c r="A72" s="204"/>
      <c r="B72" s="204"/>
      <c r="C72" s="204"/>
      <c r="D72" s="204"/>
      <c r="E72" s="204"/>
      <c r="F72" s="204"/>
      <c r="G72" s="204"/>
    </row>
    <row r="73" spans="1:8" ht="21" x14ac:dyDescent="0.25">
      <c r="A73" s="204"/>
      <c r="B73" s="204"/>
      <c r="C73" s="204"/>
      <c r="D73" s="204"/>
      <c r="E73" s="204"/>
      <c r="F73" s="204"/>
      <c r="G73" s="204"/>
    </row>
    <row r="74" spans="1:8" ht="23.25" x14ac:dyDescent="0.25">
      <c r="A74" s="228"/>
      <c r="B74" s="228"/>
      <c r="C74" s="228"/>
      <c r="D74" s="228"/>
      <c r="E74" s="228"/>
      <c r="F74" s="228"/>
      <c r="G74" s="228"/>
    </row>
    <row r="75" spans="1:8" ht="24.95" customHeight="1" x14ac:dyDescent="0.25">
      <c r="A75" s="228"/>
      <c r="B75" s="228"/>
      <c r="C75" s="228"/>
      <c r="D75" s="228"/>
      <c r="E75" s="228"/>
      <c r="F75" s="228"/>
      <c r="G75" s="228"/>
    </row>
    <row r="76" spans="1:8" ht="24.95" customHeight="1" x14ac:dyDescent="0.25">
      <c r="A76" s="228"/>
      <c r="B76" s="228"/>
      <c r="C76" s="228"/>
      <c r="D76" s="228"/>
      <c r="E76" s="228"/>
      <c r="F76" s="228"/>
      <c r="G76" s="228"/>
    </row>
    <row r="77" spans="1:8" ht="24.95" customHeight="1" x14ac:dyDescent="0.25">
      <c r="A77" s="228"/>
      <c r="B77" s="228"/>
      <c r="C77" s="228"/>
      <c r="D77" s="228"/>
      <c r="E77" s="228"/>
      <c r="F77" s="228"/>
      <c r="G77" s="228"/>
    </row>
    <row r="78" spans="1:8" ht="24.95" customHeight="1" x14ac:dyDescent="0.25">
      <c r="A78" s="228"/>
      <c r="B78" s="228"/>
      <c r="C78" s="228"/>
      <c r="D78" s="228"/>
      <c r="E78" s="228"/>
      <c r="F78" s="228"/>
      <c r="G78" s="228"/>
    </row>
    <row r="79" spans="1:8" ht="24.95" customHeight="1" x14ac:dyDescent="0.25">
      <c r="A79" s="227"/>
      <c r="B79" s="227"/>
      <c r="C79" s="227"/>
      <c r="D79" s="227"/>
      <c r="E79" s="227"/>
      <c r="F79" s="227"/>
      <c r="G79" s="227"/>
    </row>
    <row r="80" spans="1:8" x14ac:dyDescent="0.25">
      <c r="A80" s="227"/>
      <c r="B80" s="227"/>
      <c r="C80" s="227"/>
      <c r="D80" s="227"/>
      <c r="E80" s="227"/>
      <c r="F80" s="227"/>
      <c r="G80" s="227"/>
    </row>
    <row r="81" spans="1:7" ht="23.25" x14ac:dyDescent="0.25">
      <c r="A81" s="228"/>
      <c r="B81" s="228"/>
      <c r="C81" s="228"/>
      <c r="D81" s="228"/>
      <c r="E81" s="228"/>
      <c r="F81" s="228"/>
      <c r="G81" s="228"/>
    </row>
    <row r="82" spans="1:7" ht="24.95" customHeight="1" x14ac:dyDescent="0.25">
      <c r="A82" s="228"/>
      <c r="B82" s="228"/>
      <c r="C82" s="228"/>
      <c r="D82" s="228"/>
      <c r="E82" s="228"/>
      <c r="F82" s="228"/>
      <c r="G82" s="228"/>
    </row>
    <row r="83" spans="1:7" ht="24.95" customHeight="1" x14ac:dyDescent="0.25">
      <c r="A83" s="228"/>
      <c r="B83" s="228"/>
      <c r="C83" s="228"/>
      <c r="D83" s="228"/>
      <c r="E83" s="228"/>
      <c r="F83" s="228"/>
      <c r="G83" s="228"/>
    </row>
    <row r="84" spans="1:7" ht="24.95" customHeight="1" x14ac:dyDescent="0.25">
      <c r="A84" s="228"/>
      <c r="B84" s="228"/>
      <c r="C84" s="228"/>
      <c r="D84" s="228"/>
      <c r="E84" s="228"/>
      <c r="F84" s="228"/>
      <c r="G84" s="228"/>
    </row>
    <row r="85" spans="1:7" ht="24.95" customHeight="1" x14ac:dyDescent="0.25">
      <c r="A85" s="228"/>
      <c r="B85" s="228"/>
      <c r="C85" s="228"/>
      <c r="D85" s="228"/>
      <c r="E85" s="228"/>
      <c r="F85" s="228"/>
      <c r="G85" s="228"/>
    </row>
    <row r="86" spans="1:7" ht="24.95" customHeight="1" x14ac:dyDescent="0.25">
      <c r="A86" s="227"/>
      <c r="B86" s="227"/>
      <c r="C86" s="227"/>
      <c r="D86" s="227"/>
      <c r="E86" s="227"/>
      <c r="F86" s="227"/>
      <c r="G86" s="227"/>
    </row>
    <row r="87" spans="1:7" x14ac:dyDescent="0.25">
      <c r="A87" s="227"/>
      <c r="B87" s="227"/>
      <c r="C87" s="227"/>
      <c r="D87" s="227"/>
      <c r="E87" s="227"/>
      <c r="F87" s="227"/>
      <c r="G87" s="227"/>
    </row>
    <row r="88" spans="1:7" ht="23.25" x14ac:dyDescent="0.25">
      <c r="A88" s="228"/>
      <c r="B88" s="228"/>
      <c r="C88" s="228"/>
      <c r="D88" s="228"/>
      <c r="E88" s="228"/>
      <c r="F88" s="228"/>
      <c r="G88" s="228"/>
    </row>
    <row r="89" spans="1:7" ht="24.95" customHeight="1" x14ac:dyDescent="0.25">
      <c r="A89" s="228"/>
      <c r="B89" s="228"/>
      <c r="C89" s="228"/>
      <c r="D89" s="228"/>
      <c r="E89" s="228"/>
      <c r="F89" s="228"/>
      <c r="G89" s="228"/>
    </row>
    <row r="90" spans="1:7" ht="24.95" customHeight="1" x14ac:dyDescent="0.25">
      <c r="A90" s="228"/>
      <c r="B90" s="228"/>
      <c r="C90" s="228"/>
      <c r="D90" s="228"/>
      <c r="E90" s="228"/>
      <c r="F90" s="228"/>
      <c r="G90" s="228"/>
    </row>
    <row r="91" spans="1:7" ht="24.95" customHeight="1" x14ac:dyDescent="0.25">
      <c r="A91" s="228"/>
      <c r="B91" s="228"/>
      <c r="C91" s="228"/>
      <c r="D91" s="228"/>
      <c r="E91" s="228"/>
      <c r="F91" s="228"/>
      <c r="G91" s="228"/>
    </row>
    <row r="92" spans="1:7" ht="24.95" customHeight="1" x14ac:dyDescent="0.25">
      <c r="A92" s="228"/>
      <c r="B92" s="228"/>
      <c r="C92" s="228"/>
      <c r="D92" s="228"/>
      <c r="E92" s="228"/>
      <c r="F92" s="228"/>
      <c r="G92" s="228"/>
    </row>
    <row r="93" spans="1:7" ht="24.95" customHeight="1" x14ac:dyDescent="0.25"/>
  </sheetData>
  <mergeCells count="2">
    <mergeCell ref="A3:I3"/>
    <mergeCell ref="A40:H40"/>
  </mergeCells>
  <phoneticPr fontId="31" type="noConversion"/>
  <dataValidations count="1">
    <dataValidation type="list" allowBlank="1" showInputMessage="1" showErrorMessage="1" sqref="B39" xr:uid="{F603DDFD-FCD6-416F-8535-1F2E79D00B74}">
      <formula1>#REF!</formula1>
    </dataValidation>
  </dataValidations>
  <printOptions horizontalCentered="1" verticalCentered="1"/>
  <pageMargins left="3.937007874015748E-2" right="3.937007874015748E-2" top="3.937007874015748E-2" bottom="3.937007874015748E-2" header="0.31496062992125984" footer="0.31496062992125984"/>
  <pageSetup paperSize="5" scale="39" orientation="landscape" cellComments="atEnd" r:id="rId1"/>
  <headerFooter differentOddEven="1">
    <oddFooter>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ri_hash" altText="Ajouter ligne">
                <anchor moveWithCells="1">
                  <from>
                    <xdr:col>1</xdr:col>
                    <xdr:colOff>1581150</xdr:colOff>
                    <xdr:row>0</xdr:row>
                    <xdr:rowOff>47625</xdr:rowOff>
                  </from>
                  <to>
                    <xdr:col>1</xdr:col>
                    <xdr:colOff>3743325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ajoutligne" altText="Ajouter ligne">
                <anchor moveWithCells="1">
                  <from>
                    <xdr:col>0</xdr:col>
                    <xdr:colOff>219075</xdr:colOff>
                    <xdr:row>0</xdr:row>
                    <xdr:rowOff>47625</xdr:rowOff>
                  </from>
                  <to>
                    <xdr:col>1</xdr:col>
                    <xdr:colOff>1419225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Imprectoverso" altText="Ajouter ligne">
                <anchor moveWithCells="1">
                  <from>
                    <xdr:col>1</xdr:col>
                    <xdr:colOff>3790950</xdr:colOff>
                    <xdr:row>0</xdr:row>
                    <xdr:rowOff>47625</xdr:rowOff>
                  </from>
                  <to>
                    <xdr:col>2</xdr:col>
                    <xdr:colOff>114300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[0]!ajoutligne" altText="Ajouter ligne">
                <anchor moveWithCells="1">
                  <from>
                    <xdr:col>11</xdr:col>
                    <xdr:colOff>66675</xdr:colOff>
                    <xdr:row>41</xdr:row>
                    <xdr:rowOff>0</xdr:rowOff>
                  </from>
                  <to>
                    <xdr:col>14</xdr:col>
                    <xdr:colOff>66675</xdr:colOff>
                    <xdr:row>43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672447-7927-4A64-98D5-F29F2A1673B5}">
          <x14:formula1>
            <xm:f>'Base Hash Kiefs'!$A$110:$A$150</xm:f>
          </x14:formula1>
          <xm:sqref>B42:B65</xm:sqref>
        </x14:dataValidation>
        <x14:dataValidation type="list" allowBlank="1" showInputMessage="1" showErrorMessage="1" xr:uid="{D43A68A6-C46B-4CBB-828B-A3E832B269B7}">
          <x14:formula1>
            <xm:f>'Base Hash Kiefs'!$A$6:$A$92</xm:f>
          </x14:formula1>
          <xm:sqref>B4:B38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D070-C42C-4004-998E-2B1544A4C8E3}">
  <sheetPr codeName="Feuil1"/>
  <dimension ref="A1:L237"/>
  <sheetViews>
    <sheetView topLeftCell="A193" workbookViewId="0">
      <selection activeCell="D213" sqref="D213"/>
    </sheetView>
  </sheetViews>
  <sheetFormatPr baseColWidth="10" defaultColWidth="9.140625" defaultRowHeight="12.75" x14ac:dyDescent="0.2"/>
  <cols>
    <col min="1" max="1" width="42" style="163" bestFit="1" customWidth="1"/>
    <col min="2" max="2" width="28.5703125" style="163" customWidth="1"/>
    <col min="3" max="3" width="21.28515625" style="163" customWidth="1"/>
    <col min="4" max="4" width="19.7109375" style="163" customWidth="1"/>
    <col min="5" max="5" width="12" style="163" bestFit="1" customWidth="1"/>
    <col min="6" max="6" width="25.28515625" style="163" customWidth="1"/>
    <col min="7" max="7" width="21.7109375" style="163" bestFit="1" customWidth="1"/>
    <col min="8" max="8" width="18.140625" style="163" bestFit="1" customWidth="1"/>
    <col min="9" max="9" width="22.42578125" style="163" bestFit="1" customWidth="1"/>
    <col min="10" max="10" width="12" style="163" bestFit="1" customWidth="1"/>
    <col min="11" max="11" width="10" style="163" bestFit="1" customWidth="1"/>
    <col min="12" max="12" width="9.28515625" style="163" customWidth="1"/>
    <col min="13" max="16384" width="9.140625" style="163"/>
  </cols>
  <sheetData>
    <row r="1" spans="1:12" s="180" customFormat="1" ht="20.100000000000001" customHeight="1" x14ac:dyDescent="0.25">
      <c r="A1" s="641" t="s">
        <v>248</v>
      </c>
      <c r="B1" s="641"/>
      <c r="C1" s="641"/>
      <c r="D1" s="641"/>
      <c r="E1" s="641"/>
      <c r="F1" s="641"/>
      <c r="G1" s="641"/>
      <c r="H1" s="641"/>
      <c r="I1" s="641"/>
      <c r="J1" s="641"/>
      <c r="K1" s="641"/>
    </row>
    <row r="2" spans="1:12" x14ac:dyDescent="0.2">
      <c r="A2" s="165" t="s">
        <v>249</v>
      </c>
      <c r="B2" s="165" t="s">
        <v>250</v>
      </c>
      <c r="C2" s="165" t="s">
        <v>251</v>
      </c>
      <c r="D2" s="165" t="s">
        <v>252</v>
      </c>
      <c r="E2" s="165" t="s">
        <v>253</v>
      </c>
      <c r="F2" s="165" t="s">
        <v>254</v>
      </c>
      <c r="G2" s="165" t="s">
        <v>255</v>
      </c>
      <c r="H2" s="165" t="s">
        <v>4</v>
      </c>
      <c r="I2" s="165" t="s">
        <v>256</v>
      </c>
      <c r="J2" s="165" t="s">
        <v>5</v>
      </c>
      <c r="K2" s="165" t="s">
        <v>6</v>
      </c>
      <c r="L2" s="165" t="s">
        <v>257</v>
      </c>
    </row>
    <row r="3" spans="1:12" x14ac:dyDescent="0.2">
      <c r="A3" s="163">
        <f>IF(Tableau11[[#This Row],[Nom produit]]=Tableau11[[#This Row],[Variété]],Tableau11[[#This Row],[Nom produit]],_xlfn.CONCAT(Tableau11[[#This Row],[Nom produit]]," - ", Tableau11[[#This Row],[Variété]]))</f>
        <v>0</v>
      </c>
      <c r="C3" s="246"/>
      <c r="K3" s="247"/>
    </row>
    <row r="4" spans="1:12" x14ac:dyDescent="0.2">
      <c r="A4" s="163" t="s">
        <v>87</v>
      </c>
      <c r="B4" s="163" t="s">
        <v>87</v>
      </c>
      <c r="C4" s="246" t="s">
        <v>87</v>
      </c>
      <c r="D4" s="163" t="s">
        <v>87</v>
      </c>
      <c r="E4" s="163" t="s">
        <v>87</v>
      </c>
      <c r="F4" s="163" t="s">
        <v>87</v>
      </c>
      <c r="G4" s="163" t="s">
        <v>87</v>
      </c>
      <c r="H4" s="163" t="s">
        <v>87</v>
      </c>
      <c r="I4" s="163" t="s">
        <v>87</v>
      </c>
      <c r="J4" s="163" t="s">
        <v>87</v>
      </c>
      <c r="K4" s="247" t="s">
        <v>87</v>
      </c>
    </row>
    <row r="5" spans="1:12" x14ac:dyDescent="0.2">
      <c r="A5" s="163" t="str">
        <f>IF(Tableau11[[#This Row],[Nom produit]]=Tableau11[[#This Row],[Variété]],Tableau11[[#This Row],[Nom produit]],_xlfn.CONCAT(Tableau11[[#This Row],[Nom produit]]," - ", Tableau11[[#This Row],[Variété]]))</f>
        <v>111</v>
      </c>
      <c r="B5" s="182" t="s">
        <v>258</v>
      </c>
      <c r="C5" s="184">
        <v>820939001929</v>
      </c>
      <c r="D5" s="182" t="s">
        <v>259</v>
      </c>
      <c r="E5" s="163" t="s">
        <v>137</v>
      </c>
      <c r="F5" s="163" t="s">
        <v>87</v>
      </c>
      <c r="G5" s="182" t="s">
        <v>258</v>
      </c>
      <c r="H5" s="182" t="s">
        <v>260</v>
      </c>
      <c r="I5" s="182" t="s">
        <v>261</v>
      </c>
      <c r="J5" s="182" t="s">
        <v>262</v>
      </c>
      <c r="K5" s="183">
        <v>125.8</v>
      </c>
    </row>
    <row r="6" spans="1:12" x14ac:dyDescent="0.2">
      <c r="A6" s="163" t="str">
        <f>IF(Tableau11[[#This Row],[Nom produit]]=Tableau11[[#This Row],[Variété]],Tableau11[[#This Row],[Nom produit]],_xlfn.CONCAT(Tableau11[[#This Row],[Nom produit]]," - ", Tableau11[[#This Row],[Variété]]))</f>
        <v>Amsterdam Sativa - En rotation</v>
      </c>
      <c r="B6" s="182" t="s">
        <v>263</v>
      </c>
      <c r="C6" s="184">
        <v>827763000272</v>
      </c>
      <c r="D6" s="182" t="s">
        <v>87</v>
      </c>
      <c r="E6" s="163" t="s">
        <v>137</v>
      </c>
      <c r="F6" s="163" t="s">
        <v>87</v>
      </c>
      <c r="G6" s="182" t="s">
        <v>264</v>
      </c>
      <c r="H6" s="182" t="s">
        <v>265</v>
      </c>
      <c r="I6" s="182" t="s">
        <v>87</v>
      </c>
      <c r="J6" s="182" t="s">
        <v>262</v>
      </c>
      <c r="K6" s="183">
        <v>147.30000000000001</v>
      </c>
    </row>
    <row r="7" spans="1:12" x14ac:dyDescent="0.2">
      <c r="A7" s="163" t="str">
        <f>IF(Tableau11[[#This Row],[Nom produit]]=Tableau11[[#This Row],[Variété]],Tableau11[[#This Row],[Nom produit]],_xlfn.CONCAT(Tableau11[[#This Row],[Nom produit]]," - ", Tableau11[[#This Row],[Variété]]))</f>
        <v>C99 - Cinderella 99</v>
      </c>
      <c r="B7" s="339" t="s">
        <v>266</v>
      </c>
      <c r="C7" s="341">
        <v>688083008078</v>
      </c>
      <c r="D7" s="182" t="s">
        <v>87</v>
      </c>
      <c r="E7" s="163" t="s">
        <v>137</v>
      </c>
      <c r="F7" s="163" t="s">
        <v>87</v>
      </c>
      <c r="G7" s="182" t="s">
        <v>267</v>
      </c>
      <c r="H7" s="339" t="s">
        <v>268</v>
      </c>
      <c r="I7" s="182" t="s">
        <v>269</v>
      </c>
      <c r="J7" s="182" t="s">
        <v>262</v>
      </c>
      <c r="K7" s="343">
        <v>133.30000000000001</v>
      </c>
    </row>
    <row r="8" spans="1:12" x14ac:dyDescent="0.2">
      <c r="A8" s="163" t="str">
        <f>IF(Tableau11[[#This Row],[Nom produit]]=Tableau11[[#This Row],[Variété]],Tableau11[[#This Row],[Nom produit]],_xlfn.CONCAT(Tableau11[[#This Row],[Nom produit]]," - ", Tableau11[[#This Row],[Variété]]))</f>
        <v>Chemdawg</v>
      </c>
      <c r="B8" s="339" t="s">
        <v>270</v>
      </c>
      <c r="C8" s="341">
        <v>688083008269</v>
      </c>
      <c r="D8" s="182" t="s">
        <v>87</v>
      </c>
      <c r="E8" s="163" t="s">
        <v>137</v>
      </c>
      <c r="F8" s="163" t="s">
        <v>87</v>
      </c>
      <c r="G8" s="182" t="s">
        <v>270</v>
      </c>
      <c r="H8" s="339" t="s">
        <v>271</v>
      </c>
      <c r="I8" s="182" t="s">
        <v>269</v>
      </c>
      <c r="J8" s="182" t="s">
        <v>262</v>
      </c>
      <c r="K8" s="343">
        <v>141.4</v>
      </c>
    </row>
    <row r="9" spans="1:12" x14ac:dyDescent="0.2">
      <c r="A9" s="163" t="str">
        <f>IF(Tableau11[[#This Row],[Nom produit]]=Tableau11[[#This Row],[Variété]],Tableau11[[#This Row],[Nom produit]],_xlfn.CONCAT(Tableau11[[#This Row],[Nom produit]]," - ", Tableau11[[#This Row],[Variété]]))</f>
        <v>Early Lemon Berry</v>
      </c>
      <c r="B9" s="182" t="s">
        <v>163</v>
      </c>
      <c r="C9" s="184">
        <v>628124828012</v>
      </c>
      <c r="D9" s="182" t="s">
        <v>272</v>
      </c>
      <c r="E9" s="163" t="s">
        <v>137</v>
      </c>
      <c r="F9" s="163" t="s">
        <v>87</v>
      </c>
      <c r="G9" s="182" t="s">
        <v>163</v>
      </c>
      <c r="H9" s="182" t="s">
        <v>237</v>
      </c>
      <c r="I9" s="182" t="s">
        <v>261</v>
      </c>
      <c r="J9" s="182" t="s">
        <v>262</v>
      </c>
      <c r="K9" s="183">
        <v>153</v>
      </c>
    </row>
    <row r="10" spans="1:12" x14ac:dyDescent="0.2">
      <c r="A10" s="163" t="str">
        <f>IF(Tableau11[[#This Row],[Nom produit]]=Tableau11[[#This Row],[Variété]],Tableau11[[#This Row],[Nom produit]],_xlfn.CONCAT(Tableau11[[#This Row],[Nom produit]]," - ", Tableau11[[#This Row],[Variété]]))</f>
        <v>Frozen Lemons - Britney's Frozen Lemon</v>
      </c>
      <c r="B10" s="340" t="s">
        <v>273</v>
      </c>
      <c r="C10" s="342">
        <v>671148011090</v>
      </c>
      <c r="D10" s="338" t="s">
        <v>87</v>
      </c>
      <c r="E10" s="163" t="s">
        <v>137</v>
      </c>
      <c r="F10" s="163" t="s">
        <v>87</v>
      </c>
      <c r="G10" s="338" t="s">
        <v>274</v>
      </c>
      <c r="H10" s="340" t="s">
        <v>275</v>
      </c>
      <c r="I10" s="338"/>
      <c r="J10" s="182" t="s">
        <v>262</v>
      </c>
      <c r="K10" s="344">
        <v>130.19999999999999</v>
      </c>
      <c r="L10" s="163" t="s">
        <v>276</v>
      </c>
    </row>
    <row r="11" spans="1:12" x14ac:dyDescent="0.2">
      <c r="A11" s="163" t="str">
        <f>IF(Tableau11[[#This Row],[Nom produit]]=Tableau11[[#This Row],[Variété]],Tableau11[[#This Row],[Nom produit]],_xlfn.CONCAT(Tableau11[[#This Row],[Nom produit]]," - ", Tableau11[[#This Row],[Variété]]))</f>
        <v>Golden Goat</v>
      </c>
      <c r="B11" s="163" t="s">
        <v>277</v>
      </c>
      <c r="C11" s="246">
        <v>694144013929</v>
      </c>
      <c r="D11" s="163" t="s">
        <v>87</v>
      </c>
      <c r="E11" s="163" t="s">
        <v>137</v>
      </c>
      <c r="F11" s="163" t="s">
        <v>87</v>
      </c>
      <c r="G11" s="163" t="s">
        <v>277</v>
      </c>
      <c r="H11" s="163" t="s">
        <v>220</v>
      </c>
      <c r="I11" s="163" t="s">
        <v>278</v>
      </c>
      <c r="J11" s="163" t="s">
        <v>262</v>
      </c>
      <c r="K11" s="247">
        <v>125.8</v>
      </c>
    </row>
    <row r="12" spans="1:12" ht="15" x14ac:dyDescent="0.25">
      <c r="A12" s="163" t="str">
        <f>IF(Tableau11[[#This Row],[Nom produit]]=Tableau11[[#This Row],[Variété]],Tableau11[[#This Row],[Nom produit]],_xlfn.CONCAT(Tableau11[[#This Row],[Nom produit]]," - ", Tableau11[[#This Row],[Variété]]))</f>
        <v>Grapefruit Tangie</v>
      </c>
      <c r="B12" s="323" t="s">
        <v>279</v>
      </c>
      <c r="C12" s="477"/>
      <c r="D12" t="s">
        <v>87</v>
      </c>
      <c r="E12" s="163" t="s">
        <v>137</v>
      </c>
      <c r="F12" s="163" t="s">
        <v>87</v>
      </c>
      <c r="G12" t="s">
        <v>279</v>
      </c>
      <c r="H12" s="323" t="s">
        <v>260</v>
      </c>
      <c r="I12" t="s">
        <v>269</v>
      </c>
      <c r="J12" s="163" t="s">
        <v>262</v>
      </c>
      <c r="K12" s="479">
        <v>125.8</v>
      </c>
    </row>
    <row r="13" spans="1:12" x14ac:dyDescent="0.2">
      <c r="A13" s="163" t="str">
        <f>IF(Tableau11[[#This Row],[Nom produit]]=Tableau11[[#This Row],[Variété]],Tableau11[[#This Row],[Nom produit]],_xlfn.CONCAT(Tableau11[[#This Row],[Nom produit]]," - ", Tableau11[[#This Row],[Variété]]))</f>
        <v>Jacques Haze ultra - Ultra Jack</v>
      </c>
      <c r="B13" s="476" t="s">
        <v>280</v>
      </c>
      <c r="C13" s="477"/>
      <c r="D13" s="163" t="s">
        <v>259</v>
      </c>
      <c r="E13" s="163" t="s">
        <v>137</v>
      </c>
      <c r="F13" s="163" t="s">
        <v>87</v>
      </c>
      <c r="G13" s="163" t="s">
        <v>281</v>
      </c>
      <c r="H13" s="476" t="s">
        <v>282</v>
      </c>
      <c r="I13" s="163" t="s">
        <v>278</v>
      </c>
      <c r="J13" s="163" t="s">
        <v>262</v>
      </c>
      <c r="K13" s="478">
        <v>133.30000000000001</v>
      </c>
    </row>
    <row r="14" spans="1:12" x14ac:dyDescent="0.2">
      <c r="A14" s="163" t="str">
        <f>IF(Tableau11[[#This Row],[Nom produit]]=Tableau11[[#This Row],[Variété]],Tableau11[[#This Row],[Nom produit]],_xlfn.CONCAT(Tableau11[[#This Row],[Nom produit]]," - ", Tableau11[[#This Row],[Variété]]))</f>
        <v>Jean Guy</v>
      </c>
      <c r="B14" s="182" t="s">
        <v>140</v>
      </c>
      <c r="C14" s="184">
        <v>826966013034</v>
      </c>
      <c r="D14" s="182" t="s">
        <v>87</v>
      </c>
      <c r="E14" s="163" t="s">
        <v>137</v>
      </c>
      <c r="F14" s="163" t="s">
        <v>87</v>
      </c>
      <c r="G14" s="182" t="s">
        <v>140</v>
      </c>
      <c r="H14" s="182" t="s">
        <v>283</v>
      </c>
      <c r="I14" s="182" t="s">
        <v>284</v>
      </c>
      <c r="J14" s="163" t="s">
        <v>262</v>
      </c>
      <c r="K14" s="183">
        <v>125.8</v>
      </c>
    </row>
    <row r="15" spans="1:12" x14ac:dyDescent="0.2">
      <c r="A15" s="163" t="str">
        <f>IF(Tableau11[[#This Row],[Nom produit]]=Tableau11[[#This Row],[Variété]],Tableau11[[#This Row],[Nom produit]],_xlfn.CONCAT(Tableau11[[#This Row],[Nom produit]]," - ", Tableau11[[#This Row],[Variété]]))</f>
        <v>Lemon Margy</v>
      </c>
      <c r="B15" s="182" t="s">
        <v>285</v>
      </c>
      <c r="C15" s="184">
        <v>671148601192</v>
      </c>
      <c r="D15" s="182" t="s">
        <v>87</v>
      </c>
      <c r="E15" s="163" t="s">
        <v>137</v>
      </c>
      <c r="F15" s="163" t="s">
        <v>87</v>
      </c>
      <c r="G15" s="182" t="s">
        <v>285</v>
      </c>
      <c r="H15" s="182" t="s">
        <v>286</v>
      </c>
      <c r="I15" s="182" t="s">
        <v>278</v>
      </c>
      <c r="J15" s="163" t="s">
        <v>262</v>
      </c>
      <c r="K15" s="183">
        <v>140.19999999999999</v>
      </c>
    </row>
    <row r="16" spans="1:12" s="338" customFormat="1" ht="13.5" thickBot="1" x14ac:dyDescent="0.25">
      <c r="A16" s="338" t="str">
        <f>IF(Tableau11[[#This Row],[Nom produit]]=Tableau11[[#This Row],[Variété]],Tableau11[[#This Row],[Nom produit]],_xlfn.CONCAT(Tableau11[[#This Row],[Nom produit]]," - ", Tableau11[[#This Row],[Variété]]))</f>
        <v>Lemon Meringue</v>
      </c>
      <c r="B16" s="433" t="s">
        <v>287</v>
      </c>
      <c r="C16" s="434">
        <v>824165001876</v>
      </c>
      <c r="D16" s="338" t="s">
        <v>87</v>
      </c>
      <c r="E16" s="338" t="s">
        <v>137</v>
      </c>
      <c r="F16" s="338" t="s">
        <v>87</v>
      </c>
      <c r="G16" s="338" t="s">
        <v>287</v>
      </c>
      <c r="H16" s="433" t="s">
        <v>288</v>
      </c>
      <c r="I16" s="338" t="s">
        <v>278</v>
      </c>
      <c r="J16" s="338" t="s">
        <v>262</v>
      </c>
      <c r="K16" s="435">
        <v>140.4</v>
      </c>
    </row>
    <row r="17" spans="1:12" s="338" customFormat="1" ht="13.5" thickBot="1" x14ac:dyDescent="0.25">
      <c r="A17" s="163" t="str">
        <f>IF(Tableau11[[#This Row],[Nom produit]]=Tableau11[[#This Row],[Variété]],Tableau11[[#This Row],[Nom produit]],_xlfn.CONCAT(Tableau11[[#This Row],[Nom produit]]," - ", Tableau11[[#This Row],[Variété]]))</f>
        <v>Lemon Pepper Punch</v>
      </c>
      <c r="B17" s="345" t="s">
        <v>159</v>
      </c>
      <c r="C17" s="347">
        <v>628176622842</v>
      </c>
      <c r="D17" s="338" t="s">
        <v>87</v>
      </c>
      <c r="E17" s="163" t="s">
        <v>137</v>
      </c>
      <c r="F17" s="163" t="s">
        <v>87</v>
      </c>
      <c r="G17" s="338" t="s">
        <v>289</v>
      </c>
      <c r="H17" s="345" t="s">
        <v>290</v>
      </c>
      <c r="J17" s="163" t="s">
        <v>262</v>
      </c>
      <c r="K17" s="349">
        <v>179</v>
      </c>
      <c r="L17" s="163"/>
    </row>
    <row r="18" spans="1:12" s="338" customFormat="1" ht="13.5" thickBot="1" x14ac:dyDescent="0.25">
      <c r="A18" s="163" t="str">
        <f>IF(Tableau11[[#This Row],[Nom produit]]=Tableau11[[#This Row],[Variété]],Tableau11[[#This Row],[Nom produit]],_xlfn.CONCAT(Tableau11[[#This Row],[Nom produit]]," - ", Tableau11[[#This Row],[Variété]]))</f>
        <v>Lemon Z</v>
      </c>
      <c r="B18" s="436" t="s">
        <v>291</v>
      </c>
      <c r="C18" s="438">
        <v>628242801447</v>
      </c>
      <c r="D18" s="182" t="s">
        <v>87</v>
      </c>
      <c r="E18" s="163" t="s">
        <v>137</v>
      </c>
      <c r="F18" s="163" t="s">
        <v>87</v>
      </c>
      <c r="G18" s="182" t="s">
        <v>291</v>
      </c>
      <c r="H18" s="436" t="s">
        <v>292</v>
      </c>
      <c r="I18" s="182" t="s">
        <v>284</v>
      </c>
      <c r="J18" s="163" t="s">
        <v>262</v>
      </c>
      <c r="K18" s="440">
        <v>140.19999999999999</v>
      </c>
      <c r="L18" s="163"/>
    </row>
    <row r="19" spans="1:12" x14ac:dyDescent="0.2">
      <c r="A19" s="338" t="str">
        <f>IF(Tableau11[[#This Row],[Nom produit]]=Tableau11[[#This Row],[Variété]],Tableau11[[#This Row],[Nom produit]],_xlfn.CONCAT(Tableau11[[#This Row],[Nom produit]]," - ", Tableau11[[#This Row],[Variété]]))</f>
        <v>Megaton Melon #4 - Megaton Melon</v>
      </c>
      <c r="B19" s="437" t="s">
        <v>293</v>
      </c>
      <c r="C19" s="439">
        <v>628504711774</v>
      </c>
      <c r="D19" s="338" t="s">
        <v>87</v>
      </c>
      <c r="E19" s="338" t="s">
        <v>137</v>
      </c>
      <c r="F19" s="338" t="s">
        <v>87</v>
      </c>
      <c r="G19" s="338" t="s">
        <v>294</v>
      </c>
      <c r="H19" s="437" t="s">
        <v>295</v>
      </c>
      <c r="I19" s="338" t="s">
        <v>296</v>
      </c>
      <c r="J19" s="338" t="s">
        <v>262</v>
      </c>
      <c r="K19" s="441">
        <v>180</v>
      </c>
      <c r="L19" s="338"/>
    </row>
    <row r="20" spans="1:12" x14ac:dyDescent="0.2">
      <c r="A20" s="163" t="str">
        <f>IF(Tableau11[[#This Row],[Nom produit]]=Tableau11[[#This Row],[Variété]],Tableau11[[#This Row],[Nom produit]],_xlfn.CONCAT(Tableau11[[#This Row],[Nom produit]]," - ", Tableau11[[#This Row],[Variété]]))</f>
        <v>Mélange Sativa - En rotation</v>
      </c>
      <c r="B20" s="182" t="s">
        <v>297</v>
      </c>
      <c r="C20" s="184">
        <v>800129901048</v>
      </c>
      <c r="D20" s="182" t="s">
        <v>87</v>
      </c>
      <c r="E20" s="163" t="s">
        <v>137</v>
      </c>
      <c r="F20" s="163" t="s">
        <v>87</v>
      </c>
      <c r="G20" s="182" t="s">
        <v>264</v>
      </c>
      <c r="H20" s="182" t="s">
        <v>298</v>
      </c>
      <c r="I20" s="182" t="s">
        <v>299</v>
      </c>
      <c r="J20" s="163" t="s">
        <v>262</v>
      </c>
      <c r="K20" s="183">
        <v>135.6</v>
      </c>
    </row>
    <row r="21" spans="1:12" x14ac:dyDescent="0.2">
      <c r="A21" s="163" t="str">
        <f>IF(Tableau11[[#This Row],[Nom produit]]=Tableau11[[#This Row],[Variété]],Tableau11[[#This Row],[Nom produit]],_xlfn.CONCAT(Tableau11[[#This Row],[Nom produit]]," - ", Tableau11[[#This Row],[Variété]]))</f>
        <v>MK Sour Diesel</v>
      </c>
      <c r="B21" s="182" t="s">
        <v>300</v>
      </c>
      <c r="C21" s="184">
        <v>688083006494</v>
      </c>
      <c r="D21" s="182" t="s">
        <v>87</v>
      </c>
      <c r="E21" s="163" t="s">
        <v>137</v>
      </c>
      <c r="F21" s="163" t="s">
        <v>87</v>
      </c>
      <c r="G21" s="182" t="s">
        <v>300</v>
      </c>
      <c r="H21" s="182" t="s">
        <v>268</v>
      </c>
      <c r="I21" s="182" t="s">
        <v>278</v>
      </c>
      <c r="J21" s="163" t="s">
        <v>262</v>
      </c>
      <c r="K21" s="183">
        <v>133.30000000000001</v>
      </c>
    </row>
    <row r="22" spans="1:12" x14ac:dyDescent="0.2">
      <c r="A22" s="163" t="str">
        <f>IF(Tableau11[[#This Row],[Nom produit]]=Tableau11[[#This Row],[Variété]],Tableau11[[#This Row],[Nom produit]],_xlfn.CONCAT(Tableau11[[#This Row],[Nom produit]]," - ", Tableau11[[#This Row],[Variété]]))</f>
        <v>Northern Lights Haze</v>
      </c>
      <c r="B22" s="182" t="s">
        <v>301</v>
      </c>
      <c r="C22" s="184">
        <v>628242321105</v>
      </c>
      <c r="D22" s="182" t="s">
        <v>87</v>
      </c>
      <c r="E22" s="163" t="s">
        <v>137</v>
      </c>
      <c r="F22" s="163" t="s">
        <v>87</v>
      </c>
      <c r="G22" s="182" t="s">
        <v>301</v>
      </c>
      <c r="H22" s="182" t="s">
        <v>302</v>
      </c>
      <c r="I22" s="182" t="s">
        <v>261</v>
      </c>
      <c r="J22" s="163" t="s">
        <v>262</v>
      </c>
      <c r="K22" s="183">
        <v>245.3</v>
      </c>
    </row>
    <row r="23" spans="1:12" x14ac:dyDescent="0.2">
      <c r="A23" s="163" t="str">
        <f>IF(Tableau11[[#This Row],[Nom produit]]=Tableau11[[#This Row],[Variété]],Tableau11[[#This Row],[Nom produit]],_xlfn.CONCAT(Tableau11[[#This Row],[Nom produit]]," - ", Tableau11[[#This Row],[Variété]]))</f>
        <v>Nuggetz Sativa - Génétique du fournisseur</v>
      </c>
      <c r="B23" s="182" t="s">
        <v>303</v>
      </c>
      <c r="C23" s="184">
        <v>841432010256</v>
      </c>
      <c r="D23" s="182" t="s">
        <v>87</v>
      </c>
      <c r="E23" s="163" t="s">
        <v>137</v>
      </c>
      <c r="F23" s="163" t="s">
        <v>87</v>
      </c>
      <c r="G23" s="182" t="s">
        <v>304</v>
      </c>
      <c r="H23" s="182" t="s">
        <v>305</v>
      </c>
      <c r="I23" s="182" t="s">
        <v>87</v>
      </c>
      <c r="J23" s="163" t="s">
        <v>262</v>
      </c>
      <c r="K23" s="183">
        <v>126.6</v>
      </c>
    </row>
    <row r="24" spans="1:12" x14ac:dyDescent="0.2">
      <c r="A24" s="163" t="str">
        <f>IF(Tableau11[[#This Row],[Nom produit]]=Tableau11[[#This Row],[Variété]],Tableau11[[#This Row],[Nom produit]],_xlfn.CONCAT(Tableau11[[#This Row],[Nom produit]]," - ", Tableau11[[#This Row],[Variété]]))</f>
        <v>Once Sativa - En rotation</v>
      </c>
      <c r="B24" s="163" t="s">
        <v>306</v>
      </c>
      <c r="C24" s="246"/>
      <c r="D24" s="163" t="s">
        <v>87</v>
      </c>
      <c r="E24" s="163" t="s">
        <v>137</v>
      </c>
      <c r="F24" s="163" t="s">
        <v>87</v>
      </c>
      <c r="G24" s="163" t="s">
        <v>264</v>
      </c>
      <c r="H24" s="163" t="s">
        <v>307</v>
      </c>
      <c r="I24" s="163" t="s">
        <v>87</v>
      </c>
      <c r="J24" s="163" t="s">
        <v>262</v>
      </c>
      <c r="K24" s="247">
        <v>135.6</v>
      </c>
    </row>
    <row r="25" spans="1:12" x14ac:dyDescent="0.2">
      <c r="A25" s="163" t="str">
        <f>IF(Tableau11[[#This Row],[Nom produit]]=Tableau11[[#This Row],[Variété]],Tableau11[[#This Row],[Nom produit]],_xlfn.CONCAT(Tableau11[[#This Row],[Nom produit]]," - ", Tableau11[[#This Row],[Variété]]))</f>
        <v>OS.130 - En rotation</v>
      </c>
      <c r="B25" s="182" t="s">
        <v>308</v>
      </c>
      <c r="C25" s="184">
        <v>697238112287</v>
      </c>
      <c r="D25" s="182" t="s">
        <v>87</v>
      </c>
      <c r="E25" s="163" t="s">
        <v>137</v>
      </c>
      <c r="F25" s="163" t="s">
        <v>87</v>
      </c>
      <c r="G25" s="182" t="s">
        <v>264</v>
      </c>
      <c r="H25" s="182" t="s">
        <v>288</v>
      </c>
      <c r="I25" s="182" t="s">
        <v>87</v>
      </c>
      <c r="J25" s="163" t="s">
        <v>262</v>
      </c>
      <c r="K25" s="183">
        <v>125.7</v>
      </c>
    </row>
    <row r="26" spans="1:12" x14ac:dyDescent="0.2">
      <c r="A26" s="163" t="str">
        <f>IF(Tableau11[[#This Row],[Nom produit]]=Tableau11[[#This Row],[Variété]],Tableau11[[#This Row],[Nom produit]],_xlfn.CONCAT(Tableau11[[#This Row],[Nom produit]]," - ", Tableau11[[#This Row],[Variété]]))</f>
        <v>OS.Génétiques Haze - En rotation</v>
      </c>
      <c r="B26" s="182" t="s">
        <v>309</v>
      </c>
      <c r="C26" s="184">
        <v>697238121531</v>
      </c>
      <c r="D26" s="182" t="s">
        <v>272</v>
      </c>
      <c r="E26" s="163" t="s">
        <v>137</v>
      </c>
      <c r="F26" s="163" t="s">
        <v>87</v>
      </c>
      <c r="G26" s="182" t="s">
        <v>264</v>
      </c>
      <c r="H26" s="182" t="s">
        <v>288</v>
      </c>
      <c r="I26" s="182" t="s">
        <v>278</v>
      </c>
      <c r="J26" s="163" t="s">
        <v>262</v>
      </c>
      <c r="K26" s="183">
        <v>125.8</v>
      </c>
    </row>
    <row r="27" spans="1:12" ht="15" x14ac:dyDescent="0.25">
      <c r="A27" s="163" t="str">
        <f>IF(Tableau11[[#This Row],[Nom produit]]=Tableau11[[#This Row],[Variété]],Tableau11[[#This Row],[Nom produit]],_xlfn.CONCAT(Tableau11[[#This Row],[Nom produit]]," - ", Tableau11[[#This Row],[Variété]]))</f>
        <v>OS.ONE Green Crush - Green Crush</v>
      </c>
      <c r="B27" t="s">
        <v>310</v>
      </c>
      <c r="C27" s="319">
        <v>697238300189</v>
      </c>
      <c r="D27" t="s">
        <v>272</v>
      </c>
      <c r="E27" t="s">
        <v>137</v>
      </c>
      <c r="F27" t="s">
        <v>87</v>
      </c>
      <c r="G27" t="s">
        <v>311</v>
      </c>
      <c r="H27" t="s">
        <v>288</v>
      </c>
      <c r="I27" t="s">
        <v>284</v>
      </c>
      <c r="J27" s="163" t="s">
        <v>262</v>
      </c>
      <c r="K27">
        <v>134.9</v>
      </c>
    </row>
    <row r="28" spans="1:12" ht="15" x14ac:dyDescent="0.25">
      <c r="A28" s="163" t="str">
        <f>IF(Tableau11[[#This Row],[Nom produit]]=Tableau11[[#This Row],[Variété]],Tableau11[[#This Row],[Nom produit]],_xlfn.CONCAT(Tableau11[[#This Row],[Nom produit]]," - ", Tableau11[[#This Row],[Variété]]))</f>
        <v>Special Haze</v>
      </c>
      <c r="B28" t="s">
        <v>312</v>
      </c>
      <c r="C28" s="246"/>
      <c r="D28" t="s">
        <v>272</v>
      </c>
      <c r="E28" s="163" t="s">
        <v>137</v>
      </c>
      <c r="F28" s="163" t="s">
        <v>87</v>
      </c>
      <c r="G28" t="s">
        <v>312</v>
      </c>
      <c r="H28" t="s">
        <v>313</v>
      </c>
      <c r="I28" t="s">
        <v>269</v>
      </c>
      <c r="J28" s="163" t="s">
        <v>262</v>
      </c>
      <c r="K28" s="474">
        <v>131.9</v>
      </c>
    </row>
    <row r="29" spans="1:12" x14ac:dyDescent="0.2">
      <c r="A29" s="163" t="str">
        <f>IF(Tableau11[[#This Row],[Nom produit]]=Tableau11[[#This Row],[Variété]],Tableau11[[#This Row],[Nom produit]],_xlfn.CONCAT(Tableau11[[#This Row],[Nom produit]]," - ", Tableau11[[#This Row],[Variété]]))</f>
        <v>Spinach Lemon Skunk</v>
      </c>
      <c r="B29" s="163" t="s">
        <v>314</v>
      </c>
      <c r="C29" s="246"/>
      <c r="D29" s="163" t="s">
        <v>87</v>
      </c>
      <c r="E29" s="163" t="s">
        <v>137</v>
      </c>
      <c r="F29" s="163" t="s">
        <v>87</v>
      </c>
      <c r="G29" s="163" t="s">
        <v>314</v>
      </c>
      <c r="H29" s="163" t="s">
        <v>305</v>
      </c>
      <c r="I29" s="163" t="s">
        <v>261</v>
      </c>
      <c r="J29" s="163" t="s">
        <v>262</v>
      </c>
      <c r="K29" s="247">
        <v>130.19999999999999</v>
      </c>
    </row>
    <row r="30" spans="1:12" x14ac:dyDescent="0.2">
      <c r="A30" s="338" t="str">
        <f>IF(Tableau11[[#This Row],[Nom produit]]=Tableau11[[#This Row],[Variété]],Tableau11[[#This Row],[Nom produit]],_xlfn.CONCAT(Tableau11[[#This Row],[Nom produit]]," - ", Tableau11[[#This Row],[Variété]]))</f>
        <v>Spinach Lemon Skunk​ - Lemon Skunk</v>
      </c>
      <c r="B30" s="437" t="s">
        <v>315</v>
      </c>
      <c r="C30" s="439">
        <v>841432010867</v>
      </c>
      <c r="D30" s="338" t="s">
        <v>87</v>
      </c>
      <c r="E30" s="338" t="s">
        <v>137</v>
      </c>
      <c r="F30" s="338" t="s">
        <v>87</v>
      </c>
      <c r="G30" s="338" t="s">
        <v>316</v>
      </c>
      <c r="H30" s="437" t="s">
        <v>305</v>
      </c>
      <c r="I30" s="338" t="s">
        <v>261</v>
      </c>
      <c r="J30" s="338" t="s">
        <v>262</v>
      </c>
      <c r="K30" s="442">
        <v>130.19999999999999</v>
      </c>
      <c r="L30" s="338"/>
    </row>
    <row r="31" spans="1:12" ht="15" x14ac:dyDescent="0.25">
      <c r="A31" s="163" t="str">
        <f>IF(Tableau11[[#This Row],[Nom produit]]=Tableau11[[#This Row],[Variété]],Tableau11[[#This Row],[Nom produit]],_xlfn.CONCAT(Tableau11[[#This Row],[Nom produit]]," - ", Tableau11[[#This Row],[Variété]]))</f>
        <v>Strawberry Frappé - Strawberry Milkshake</v>
      </c>
      <c r="B31" t="s">
        <v>317</v>
      </c>
      <c r="C31" s="246"/>
      <c r="D31" t="s">
        <v>272</v>
      </c>
      <c r="E31" s="163" t="s">
        <v>137</v>
      </c>
      <c r="F31" s="163" t="s">
        <v>87</v>
      </c>
      <c r="G31" t="s">
        <v>318</v>
      </c>
      <c r="H31" t="s">
        <v>282</v>
      </c>
      <c r="I31" t="s">
        <v>284</v>
      </c>
      <c r="J31" s="163" t="s">
        <v>262</v>
      </c>
      <c r="K31" s="474">
        <v>137.9</v>
      </c>
    </row>
    <row r="32" spans="1:12" ht="15" x14ac:dyDescent="0.25">
      <c r="A32" s="163" t="str">
        <f>IF(Tableau11[[#This Row],[Nom produit]]=Tableau11[[#This Row],[Variété]],Tableau11[[#This Row],[Nom produit]],_xlfn.CONCAT(Tableau11[[#This Row],[Nom produit]]," - ", Tableau11[[#This Row],[Variété]]))</f>
        <v>Tangerine Twist</v>
      </c>
      <c r="B32" t="s">
        <v>319</v>
      </c>
      <c r="C32" s="319">
        <v>841432010348</v>
      </c>
      <c r="D32" t="s">
        <v>87</v>
      </c>
      <c r="E32" t="s">
        <v>137</v>
      </c>
      <c r="F32"/>
      <c r="G32" t="s">
        <v>319</v>
      </c>
      <c r="H32" t="s">
        <v>305</v>
      </c>
      <c r="I32" t="s">
        <v>299</v>
      </c>
      <c r="J32" s="163" t="s">
        <v>262</v>
      </c>
      <c r="K32">
        <v>160</v>
      </c>
    </row>
    <row r="33" spans="1:12" x14ac:dyDescent="0.2">
      <c r="A33" s="163" t="str">
        <f>IF(Tableau11[[#This Row],[Nom produit]]=Tableau11[[#This Row],[Variété]],Tableau11[[#This Row],[Nom produit]],_xlfn.CONCAT(Tableau11[[#This Row],[Nom produit]]," - ", Tableau11[[#This Row],[Variété]]))</f>
        <v>Twd.28 Sativa - En rotation</v>
      </c>
      <c r="B33" s="182" t="s">
        <v>320</v>
      </c>
      <c r="C33" s="184">
        <v>688083003950</v>
      </c>
      <c r="D33" s="182" t="s">
        <v>87</v>
      </c>
      <c r="E33" s="163" t="s">
        <v>137</v>
      </c>
      <c r="F33" s="163" t="s">
        <v>87</v>
      </c>
      <c r="G33" s="182" t="s">
        <v>264</v>
      </c>
      <c r="H33" s="182" t="s">
        <v>268</v>
      </c>
      <c r="I33" s="182" t="s">
        <v>87</v>
      </c>
      <c r="J33" s="163" t="s">
        <v>262</v>
      </c>
      <c r="K33" s="183">
        <v>159</v>
      </c>
    </row>
    <row r="34" spans="1:12" x14ac:dyDescent="0.2">
      <c r="A34" s="163" t="str">
        <f>IF(Tableau11[[#This Row],[Nom produit]]=Tableau11[[#This Row],[Variété]],Tableau11[[#This Row],[Nom produit]],_xlfn.CONCAT(Tableau11[[#This Row],[Nom produit]]," - ", Tableau11[[#This Row],[Variété]]))</f>
        <v>Ultra Jean-G</v>
      </c>
      <c r="B34" s="163" t="s">
        <v>160</v>
      </c>
      <c r="C34" s="246"/>
      <c r="D34" s="163" t="s">
        <v>87</v>
      </c>
      <c r="E34" s="163" t="s">
        <v>137</v>
      </c>
      <c r="F34" s="163" t="s">
        <v>87</v>
      </c>
      <c r="G34" s="163" t="s">
        <v>160</v>
      </c>
      <c r="H34" s="163" t="s">
        <v>275</v>
      </c>
      <c r="I34" s="163" t="s">
        <v>261</v>
      </c>
      <c r="J34" s="163" t="s">
        <v>262</v>
      </c>
      <c r="K34" s="247">
        <v>130.19999999999999</v>
      </c>
    </row>
    <row r="35" spans="1:12" x14ac:dyDescent="0.2">
      <c r="A35" s="163" t="str">
        <f>IF(Tableau11[[#This Row],[Nom produit]]=Tableau11[[#This Row],[Variété]],Tableau11[[#This Row],[Nom produit]],_xlfn.CONCAT(Tableau11[[#This Row],[Nom produit]]," - ", Tableau11[[#This Row],[Variété]]))</f>
        <v>Ultra Sour</v>
      </c>
      <c r="B35" s="325" t="s">
        <v>321</v>
      </c>
      <c r="C35" s="335">
        <v>827885015550</v>
      </c>
      <c r="D35" s="163" t="s">
        <v>87</v>
      </c>
      <c r="E35" s="163" t="s">
        <v>137</v>
      </c>
      <c r="F35" s="163" t="s">
        <v>87</v>
      </c>
      <c r="G35" s="163" t="s">
        <v>321</v>
      </c>
      <c r="H35" s="325" t="s">
        <v>322</v>
      </c>
      <c r="J35" s="163" t="s">
        <v>262</v>
      </c>
      <c r="K35" s="327">
        <v>135.6</v>
      </c>
      <c r="L35" s="163" t="s">
        <v>276</v>
      </c>
    </row>
    <row r="36" spans="1:12" x14ac:dyDescent="0.2">
      <c r="A36" s="163" t="str">
        <f>IF(Tableau11[[#This Row],[Nom produit]]=Tableau11[[#This Row],[Variété]],Tableau11[[#This Row],[Nom produit]],_xlfn.CONCAT(Tableau11[[#This Row],[Nom produit]]," - ", Tableau11[[#This Row],[Variété]]))</f>
        <v>Ultra Sour (Big Bag) - Ultra Sour</v>
      </c>
      <c r="B36" s="182" t="s">
        <v>323</v>
      </c>
      <c r="C36" s="184">
        <v>671148601178</v>
      </c>
      <c r="D36" s="182" t="s">
        <v>87</v>
      </c>
      <c r="E36" s="163" t="s">
        <v>137</v>
      </c>
      <c r="F36" s="163" t="s">
        <v>87</v>
      </c>
      <c r="G36" s="182" t="s">
        <v>321</v>
      </c>
      <c r="H36" s="182" t="s">
        <v>286</v>
      </c>
      <c r="I36" s="182" t="s">
        <v>278</v>
      </c>
      <c r="J36" s="163" t="s">
        <v>262</v>
      </c>
      <c r="K36" s="183">
        <v>140.19999999999999</v>
      </c>
    </row>
    <row r="37" spans="1:12" x14ac:dyDescent="0.2">
      <c r="A37" s="163" t="str">
        <f>Tableau11[[#This Row],[Nom produit]]</f>
        <v>Ultra Sour (Saturday)</v>
      </c>
      <c r="B37" s="182" t="s">
        <v>324</v>
      </c>
      <c r="C37" s="184">
        <v>628242801454</v>
      </c>
      <c r="D37" s="182" t="s">
        <v>87</v>
      </c>
      <c r="E37" s="163" t="s">
        <v>137</v>
      </c>
      <c r="F37" s="163" t="s">
        <v>87</v>
      </c>
      <c r="G37" s="182" t="s">
        <v>321</v>
      </c>
      <c r="H37" s="182" t="s">
        <v>292</v>
      </c>
      <c r="I37" s="182" t="s">
        <v>278</v>
      </c>
      <c r="J37" s="163" t="s">
        <v>262</v>
      </c>
      <c r="K37" s="183">
        <v>140.19999999999999</v>
      </c>
    </row>
    <row r="38" spans="1:12" x14ac:dyDescent="0.2">
      <c r="A38" s="163" t="str">
        <f>IF(Tableau11[[#This Row],[Nom produit]]=Tableau11[[#This Row],[Variété]],Tableau11[[#This Row],[Nom produit]],_xlfn.CONCAT(Tableau11[[#This Row],[Nom produit]]," - ", Tableau11[[#This Row],[Variété]]))</f>
        <v>Une Once Sativa - En rotation</v>
      </c>
      <c r="B38" s="182" t="s">
        <v>325</v>
      </c>
      <c r="C38" s="184">
        <v>826966012617</v>
      </c>
      <c r="D38" s="182" t="s">
        <v>87</v>
      </c>
      <c r="E38" s="163" t="s">
        <v>137</v>
      </c>
      <c r="F38" s="163" t="s">
        <v>87</v>
      </c>
      <c r="G38" s="182" t="s">
        <v>264</v>
      </c>
      <c r="H38" s="182" t="s">
        <v>307</v>
      </c>
      <c r="I38" s="182" t="s">
        <v>87</v>
      </c>
      <c r="J38" s="163" t="s">
        <v>262</v>
      </c>
      <c r="K38" s="183">
        <v>135.6</v>
      </c>
    </row>
    <row r="39" spans="1:12" x14ac:dyDescent="0.2">
      <c r="A39" s="163" t="str">
        <f>IF(Tableau11[[#This Row],[Nom produit]]=Tableau11[[#This Row],[Variété]],Tableau11[[#This Row],[Nom produit]],_xlfn.CONCAT(Tableau11[[#This Row],[Nom produit]]," - ", Tableau11[[#This Row],[Variété]]))</f>
        <v>Voie Rapide Sativa - Red Headed Stranger</v>
      </c>
      <c r="B39" s="163" t="s">
        <v>326</v>
      </c>
      <c r="C39" s="246"/>
      <c r="D39" s="163" t="s">
        <v>87</v>
      </c>
      <c r="E39" s="163" t="s">
        <v>137</v>
      </c>
      <c r="F39" s="163" t="s">
        <v>87</v>
      </c>
      <c r="G39" s="163" t="s">
        <v>327</v>
      </c>
      <c r="H39" s="163" t="s">
        <v>328</v>
      </c>
      <c r="I39" s="163" t="s">
        <v>261</v>
      </c>
      <c r="J39" s="163" t="s">
        <v>262</v>
      </c>
      <c r="K39" s="247">
        <v>109.9</v>
      </c>
    </row>
    <row r="40" spans="1:12" x14ac:dyDescent="0.2">
      <c r="K40" s="164"/>
    </row>
    <row r="41" spans="1:12" s="181" customFormat="1" ht="20.100000000000001" customHeight="1" x14ac:dyDescent="0.25">
      <c r="A41" s="643" t="s">
        <v>329</v>
      </c>
      <c r="B41" s="643"/>
      <c r="C41" s="643"/>
      <c r="D41" s="643"/>
      <c r="E41" s="643"/>
      <c r="F41" s="643"/>
      <c r="G41" s="643"/>
      <c r="H41" s="643"/>
      <c r="I41" s="643"/>
      <c r="J41" s="643"/>
      <c r="K41" s="643"/>
    </row>
    <row r="42" spans="1:12" x14ac:dyDescent="0.2">
      <c r="A42" s="165" t="s">
        <v>330</v>
      </c>
      <c r="B42" s="165" t="s">
        <v>250</v>
      </c>
      <c r="C42" s="165" t="s">
        <v>251</v>
      </c>
      <c r="D42" s="165" t="s">
        <v>252</v>
      </c>
      <c r="E42" s="165" t="s">
        <v>253</v>
      </c>
      <c r="F42" s="165" t="s">
        <v>254</v>
      </c>
      <c r="G42" s="165" t="s">
        <v>255</v>
      </c>
      <c r="H42" s="165" t="s">
        <v>4</v>
      </c>
      <c r="I42" s="165" t="s">
        <v>256</v>
      </c>
      <c r="J42" s="165" t="s">
        <v>5</v>
      </c>
      <c r="K42" s="165" t="s">
        <v>6</v>
      </c>
      <c r="L42" s="165" t="s">
        <v>257</v>
      </c>
    </row>
    <row r="43" spans="1:12" x14ac:dyDescent="0.2">
      <c r="A43" s="163" t="s">
        <v>87</v>
      </c>
      <c r="B43" s="163" t="s">
        <v>87</v>
      </c>
      <c r="C43" s="246" t="s">
        <v>87</v>
      </c>
      <c r="D43" s="163" t="s">
        <v>87</v>
      </c>
      <c r="E43" s="163" t="s">
        <v>87</v>
      </c>
      <c r="F43" s="163" t="s">
        <v>87</v>
      </c>
      <c r="G43" s="163" t="s">
        <v>87</v>
      </c>
      <c r="H43" s="163" t="s">
        <v>87</v>
      </c>
      <c r="I43" s="163" t="s">
        <v>87</v>
      </c>
      <c r="J43" s="163" t="s">
        <v>87</v>
      </c>
      <c r="K43" s="247" t="s">
        <v>87</v>
      </c>
    </row>
    <row r="44" spans="1:12" ht="15" x14ac:dyDescent="0.25">
      <c r="A44" s="281" t="str">
        <f>IF(Tableau12[[#This Row],[Nom produit]]=Tableau12[[#This Row],[Variété]],Tableau12[[#This Row],[Nom produit]],_xlfn.CONCAT(Tableau12[[#This Row],[Nom produit]]," - ", Tableau12[[#This Row],[Variété]]))</f>
        <v>*Bientôt Retiré | Triple Blue - Triple Blue</v>
      </c>
      <c r="B44" s="325" t="s">
        <v>331</v>
      </c>
      <c r="C44" s="335">
        <v>827885015970</v>
      </c>
      <c r="D44" s="163" t="s">
        <v>87</v>
      </c>
      <c r="E44" s="284" t="s">
        <v>135</v>
      </c>
      <c r="F44" s="284" t="s">
        <v>87</v>
      </c>
      <c r="G44" s="163" t="s">
        <v>332</v>
      </c>
      <c r="H44" s="325" t="s">
        <v>333</v>
      </c>
      <c r="J44" t="s">
        <v>262</v>
      </c>
      <c r="K44" s="354">
        <v>208.6</v>
      </c>
      <c r="L44" s="163" t="s">
        <v>334</v>
      </c>
    </row>
    <row r="45" spans="1:12" x14ac:dyDescent="0.2">
      <c r="A45" s="281" t="str">
        <f>IF(Tableau12[[#This Row],[Nom produit]]=Tableau12[[#This Row],[Variété]],Tableau12[[#This Row],[Nom produit]],_xlfn.CONCAT(Tableau12[[#This Row],[Nom produit]]," - ", Tableau12[[#This Row],[Variété]]))</f>
        <v>*Bientôt Retiré | Twd.28 Indica - En rotation</v>
      </c>
      <c r="B45" s="282" t="s">
        <v>335</v>
      </c>
      <c r="C45" s="278">
        <v>688083003967</v>
      </c>
      <c r="D45" s="282" t="s">
        <v>87</v>
      </c>
      <c r="E45" s="281" t="s">
        <v>135</v>
      </c>
      <c r="F45" s="281" t="s">
        <v>87</v>
      </c>
      <c r="G45" s="282" t="s">
        <v>264</v>
      </c>
      <c r="H45" s="282" t="s">
        <v>268</v>
      </c>
      <c r="I45" s="282" t="s">
        <v>87</v>
      </c>
      <c r="J45" s="281" t="s">
        <v>336</v>
      </c>
      <c r="K45" s="283">
        <v>143.1</v>
      </c>
      <c r="L45" s="163" t="s">
        <v>334</v>
      </c>
    </row>
    <row r="46" spans="1:12" ht="15" x14ac:dyDescent="0.25">
      <c r="A46" s="163" t="str">
        <f>IF(Tableau12[[#This Row],[Nom produit]]=Tableau12[[#This Row],[Variété]],Tableau12[[#This Row],[Nom produit]],_xlfn.CONCAT(Tableau12[[#This Row],[Nom produit]]," - ", Tableau12[[#This Row],[Variété]]))</f>
        <v>Afghan Skunk</v>
      </c>
      <c r="B46" t="s">
        <v>337</v>
      </c>
      <c r="C46" s="429"/>
      <c r="D46" t="s">
        <v>87</v>
      </c>
      <c r="E46" s="286" t="s">
        <v>135</v>
      </c>
      <c r="F46" s="284" t="s">
        <v>87</v>
      </c>
      <c r="G46" t="s">
        <v>337</v>
      </c>
      <c r="H46" t="s">
        <v>338</v>
      </c>
      <c r="I46" t="s">
        <v>269</v>
      </c>
      <c r="J46" s="281" t="s">
        <v>336</v>
      </c>
      <c r="K46" s="474">
        <v>132</v>
      </c>
    </row>
    <row r="47" spans="1:12" x14ac:dyDescent="0.2">
      <c r="A47" s="163" t="str">
        <f>IF(Tableau12[[#This Row],[Nom produit]]=Tableau12[[#This Row],[Variété]],Tableau12[[#This Row],[Nom produit]],_xlfn.CONCAT(Tableau12[[#This Row],[Nom produit]]," - ", Tableau12[[#This Row],[Variété]]))</f>
        <v>Alien Dawg</v>
      </c>
      <c r="B47" s="282" t="s">
        <v>339</v>
      </c>
      <c r="C47" s="278">
        <v>694144008536</v>
      </c>
      <c r="D47" s="282" t="s">
        <v>87</v>
      </c>
      <c r="E47" s="281" t="s">
        <v>135</v>
      </c>
      <c r="F47" s="281" t="s">
        <v>87</v>
      </c>
      <c r="G47" s="282" t="s">
        <v>339</v>
      </c>
      <c r="H47" s="282" t="s">
        <v>220</v>
      </c>
      <c r="I47" s="282" t="s">
        <v>284</v>
      </c>
      <c r="J47" s="281" t="s">
        <v>336</v>
      </c>
      <c r="K47" s="283">
        <v>125.8</v>
      </c>
    </row>
    <row r="48" spans="1:12" ht="15" x14ac:dyDescent="0.25">
      <c r="A48" s="163" t="str">
        <f>IF(Tableau12[[#This Row],[Nom produit]]=Tableau12[[#This Row],[Variété]],Tableau12[[#This Row],[Nom produit]],_xlfn.CONCAT(Tableau12[[#This Row],[Nom produit]]," - ", Tableau12[[#This Row],[Variété]]))</f>
        <v>Animal RNTZ</v>
      </c>
      <c r="B48" t="s">
        <v>340</v>
      </c>
      <c r="C48" s="429"/>
      <c r="D48" t="s">
        <v>87</v>
      </c>
      <c r="E48" s="286" t="s">
        <v>135</v>
      </c>
      <c r="F48" s="284" t="s">
        <v>87</v>
      </c>
      <c r="G48" t="s">
        <v>340</v>
      </c>
      <c r="H48" t="s">
        <v>341</v>
      </c>
      <c r="I48" t="s">
        <v>261</v>
      </c>
      <c r="J48" s="281" t="s">
        <v>262</v>
      </c>
      <c r="K48" s="474">
        <v>140.1</v>
      </c>
    </row>
    <row r="49" spans="1:11" x14ac:dyDescent="0.2">
      <c r="A49" s="281" t="str">
        <f>IF(Tableau12[[#This Row],[Nom produit]]=Tableau12[[#This Row],[Variété]],Tableau12[[#This Row],[Nom produit]],_xlfn.CONCAT(Tableau12[[#This Row],[Nom produit]]," - ", Tableau12[[#This Row],[Variété]]))</f>
        <v>BC God Bud - God Bud</v>
      </c>
      <c r="B49" s="284" t="s">
        <v>342</v>
      </c>
      <c r="C49" s="285">
        <v>824164002249</v>
      </c>
      <c r="D49" s="285" t="s">
        <v>87</v>
      </c>
      <c r="E49" s="286" t="s">
        <v>135</v>
      </c>
      <c r="F49" s="284" t="s">
        <v>87</v>
      </c>
      <c r="G49" s="284" t="s">
        <v>343</v>
      </c>
      <c r="H49" s="284" t="s">
        <v>344</v>
      </c>
      <c r="I49" s="286" t="s">
        <v>284</v>
      </c>
      <c r="J49" s="284" t="s">
        <v>262</v>
      </c>
      <c r="K49" s="286">
        <v>125.7</v>
      </c>
    </row>
    <row r="50" spans="1:11" x14ac:dyDescent="0.2">
      <c r="A50" s="281" t="str">
        <f>IF(Tableau12[[#This Row],[Nom produit]]=Tableau12[[#This Row],[Variété]],Tableau12[[#This Row],[Nom produit]],_xlfn.CONCAT(Tableau12[[#This Row],[Nom produit]]," - ", Tableau12[[#This Row],[Variété]]))</f>
        <v>BC White Rainbow Biologique</v>
      </c>
      <c r="B50" s="163" t="s">
        <v>345</v>
      </c>
      <c r="C50" s="429">
        <v>688318002864</v>
      </c>
      <c r="D50" s="163" t="s">
        <v>87</v>
      </c>
      <c r="E50" s="430" t="s">
        <v>135</v>
      </c>
      <c r="F50" s="430" t="s">
        <v>87</v>
      </c>
      <c r="G50" s="163" t="s">
        <v>345</v>
      </c>
      <c r="H50" s="163" t="s">
        <v>346</v>
      </c>
      <c r="I50" s="163" t="s">
        <v>261</v>
      </c>
      <c r="J50" s="163" t="s">
        <v>262</v>
      </c>
      <c r="K50" s="247">
        <v>225</v>
      </c>
    </row>
    <row r="51" spans="1:11" x14ac:dyDescent="0.2">
      <c r="A51" s="163" t="str">
        <f>IF(Tableau12[[#This Row],[Nom produit]]=Tableau12[[#This Row],[Variété]],Tableau12[[#This Row],[Nom produit]],_xlfn.CONCAT(Tableau12[[#This Row],[Nom produit]]," - ", Tableau12[[#This Row],[Variété]]))</f>
        <v>Black Cherry Punch</v>
      </c>
      <c r="B51" s="282" t="s">
        <v>347</v>
      </c>
      <c r="C51" s="278">
        <v>671148601185</v>
      </c>
      <c r="D51" s="282" t="s">
        <v>87</v>
      </c>
      <c r="E51" s="281" t="s">
        <v>135</v>
      </c>
      <c r="F51" s="281" t="s">
        <v>87</v>
      </c>
      <c r="G51" s="282" t="s">
        <v>347</v>
      </c>
      <c r="H51" s="282" t="s">
        <v>286</v>
      </c>
      <c r="I51" s="282" t="s">
        <v>261</v>
      </c>
      <c r="J51" s="281" t="s">
        <v>336</v>
      </c>
      <c r="K51" s="283">
        <v>140.19999999999999</v>
      </c>
    </row>
    <row r="52" spans="1:11" x14ac:dyDescent="0.2">
      <c r="A52" s="281" t="str">
        <f>IF(Tableau12[[#This Row],[Nom produit]]=Tableau12[[#This Row],[Variété]],Tableau12[[#This Row],[Nom produit]],_xlfn.CONCAT(Tableau12[[#This Row],[Nom produit]]," - ", Tableau12[[#This Row],[Variété]]))</f>
        <v>Bubba</v>
      </c>
      <c r="B52" s="282" t="s">
        <v>348</v>
      </c>
      <c r="C52" s="278">
        <v>827885006428</v>
      </c>
      <c r="D52" s="282" t="s">
        <v>87</v>
      </c>
      <c r="E52" s="281" t="s">
        <v>135</v>
      </c>
      <c r="F52" s="281" t="s">
        <v>87</v>
      </c>
      <c r="G52" s="282" t="s">
        <v>348</v>
      </c>
      <c r="H52" s="282" t="s">
        <v>322</v>
      </c>
      <c r="I52" s="282" t="s">
        <v>284</v>
      </c>
      <c r="J52" s="281" t="s">
        <v>336</v>
      </c>
      <c r="K52" s="283">
        <v>147.30000000000001</v>
      </c>
    </row>
    <row r="53" spans="1:11" ht="15" x14ac:dyDescent="0.25">
      <c r="A53" s="281" t="str">
        <f>IF(Tableau12[[#This Row],[Nom produit]]=Tableau12[[#This Row],[Variété]],Tableau12[[#This Row],[Nom produit]],_xlfn.CONCAT(Tableau12[[#This Row],[Nom produit]]," - ", Tableau12[[#This Row],[Variété]]))</f>
        <v>Cherry #3</v>
      </c>
      <c r="B53" t="s">
        <v>157</v>
      </c>
      <c r="C53" s="319">
        <v>628634303283</v>
      </c>
      <c r="D53" t="s">
        <v>272</v>
      </c>
      <c r="E53" t="s">
        <v>135</v>
      </c>
      <c r="F53" t="s">
        <v>87</v>
      </c>
      <c r="G53" t="s">
        <v>157</v>
      </c>
      <c r="H53" t="s">
        <v>349</v>
      </c>
      <c r="I53" t="s">
        <v>269</v>
      </c>
      <c r="J53" t="s">
        <v>262</v>
      </c>
      <c r="K53">
        <v>130.19999999999999</v>
      </c>
    </row>
    <row r="54" spans="1:11" x14ac:dyDescent="0.2">
      <c r="A54" s="281" t="str">
        <f>IF(Tableau12[[#This Row],[Nom produit]]=Tableau12[[#This Row],[Variété]],Tableau12[[#This Row],[Nom produit]],_xlfn.CONCAT(Tableau12[[#This Row],[Nom produit]]," - ", Tableau12[[#This Row],[Variété]]))</f>
        <v>Chimp Mints</v>
      </c>
      <c r="B54" s="284" t="s">
        <v>350</v>
      </c>
      <c r="C54" s="285">
        <v>628242802154</v>
      </c>
      <c r="D54" s="285"/>
      <c r="E54" s="284" t="s">
        <v>135</v>
      </c>
      <c r="F54" s="284" t="s">
        <v>87</v>
      </c>
      <c r="G54" s="284" t="s">
        <v>350</v>
      </c>
      <c r="H54" s="284" t="s">
        <v>292</v>
      </c>
      <c r="I54" s="286"/>
      <c r="J54" s="284" t="s">
        <v>262</v>
      </c>
      <c r="K54" s="286">
        <v>140.19999999999999</v>
      </c>
    </row>
    <row r="55" spans="1:11" x14ac:dyDescent="0.2">
      <c r="A55" s="163" t="str">
        <f>IF(Tableau12[[#This Row],[Nom produit]]=Tableau12[[#This Row],[Variété]],Tableau12[[#This Row],[Nom produit]],_xlfn.CONCAT(Tableau12[[#This Row],[Nom produit]]," - ", Tableau12[[#This Row],[Variété]]))</f>
        <v>Frost Monster</v>
      </c>
      <c r="B55" s="282" t="s">
        <v>351</v>
      </c>
      <c r="C55" s="278">
        <v>628242321143</v>
      </c>
      <c r="D55" s="282" t="s">
        <v>87</v>
      </c>
      <c r="E55" s="281" t="s">
        <v>135</v>
      </c>
      <c r="F55" s="281" t="s">
        <v>87</v>
      </c>
      <c r="G55" s="282" t="s">
        <v>351</v>
      </c>
      <c r="H55" s="282" t="s">
        <v>302</v>
      </c>
      <c r="I55" s="282" t="s">
        <v>261</v>
      </c>
      <c r="J55" s="281" t="s">
        <v>336</v>
      </c>
      <c r="K55" s="283">
        <v>245.3</v>
      </c>
    </row>
    <row r="56" spans="1:11" x14ac:dyDescent="0.2">
      <c r="A56" s="163" t="str">
        <f>IF(Tableau12[[#This Row],[Nom produit]]=Tableau12[[#This Row],[Variété]],Tableau12[[#This Row],[Nom produit]],_xlfn.CONCAT(Tableau12[[#This Row],[Nom produit]]," - ", Tableau12[[#This Row],[Variété]]))</f>
        <v>Garlic Jelly</v>
      </c>
      <c r="B56" s="282" t="s">
        <v>352</v>
      </c>
      <c r="C56" s="278">
        <v>688083008894</v>
      </c>
      <c r="D56" s="282" t="s">
        <v>87</v>
      </c>
      <c r="E56" s="281" t="s">
        <v>135</v>
      </c>
      <c r="F56" s="281" t="s">
        <v>87</v>
      </c>
      <c r="G56" s="282" t="s">
        <v>352</v>
      </c>
      <c r="H56" s="282" t="s">
        <v>268</v>
      </c>
      <c r="I56" s="282" t="s">
        <v>284</v>
      </c>
      <c r="J56" s="281" t="s">
        <v>336</v>
      </c>
      <c r="K56" s="283">
        <v>133.30000000000001</v>
      </c>
    </row>
    <row r="57" spans="1:11" ht="15" x14ac:dyDescent="0.25">
      <c r="A57" s="163" t="str">
        <f>IF(Tableau12[[#This Row],[Nom produit]]=Tableau12[[#This Row],[Variété]],Tableau12[[#This Row],[Nom produit]],_xlfn.CONCAT(Tableau12[[#This Row],[Nom produit]]," - ", Tableau12[[#This Row],[Variété]]))</f>
        <v>God Kush Cross</v>
      </c>
      <c r="B57" t="s">
        <v>353</v>
      </c>
      <c r="C57" s="429"/>
      <c r="D57" t="s">
        <v>87</v>
      </c>
      <c r="E57" s="286" t="s">
        <v>135</v>
      </c>
      <c r="F57" s="284" t="s">
        <v>87</v>
      </c>
      <c r="G57" t="s">
        <v>353</v>
      </c>
      <c r="H57" t="s">
        <v>220</v>
      </c>
      <c r="I57" t="s">
        <v>284</v>
      </c>
      <c r="J57" s="281" t="s">
        <v>336</v>
      </c>
      <c r="K57" s="474">
        <v>125.8</v>
      </c>
    </row>
    <row r="58" spans="1:11" ht="15" x14ac:dyDescent="0.25">
      <c r="A58" s="163" t="str">
        <f>IF(Tableau12[[#This Row],[Nom produit]]=Tableau12[[#This Row],[Variété]],Tableau12[[#This Row],[Nom produit]],_xlfn.CONCAT(Tableau12[[#This Row],[Nom produit]]," - ", Tableau12[[#This Row],[Variété]]))</f>
        <v>Gorilla Berry</v>
      </c>
      <c r="B58" t="s">
        <v>354</v>
      </c>
      <c r="C58" s="429"/>
      <c r="D58" t="s">
        <v>87</v>
      </c>
      <c r="E58" s="286" t="s">
        <v>135</v>
      </c>
      <c r="F58" s="284" t="s">
        <v>87</v>
      </c>
      <c r="G58" t="s">
        <v>354</v>
      </c>
      <c r="H58" t="s">
        <v>271</v>
      </c>
      <c r="I58" t="s">
        <v>278</v>
      </c>
      <c r="J58" s="284" t="s">
        <v>262</v>
      </c>
      <c r="K58" s="474">
        <v>141.9</v>
      </c>
    </row>
    <row r="59" spans="1:11" ht="13.5" thickBot="1" x14ac:dyDescent="0.25">
      <c r="A59" s="163" t="str">
        <f>IF(Tableau12[[#This Row],[Nom produit]]=Tableau12[[#This Row],[Variété]],Tableau12[[#This Row],[Nom produit]],_xlfn.CONCAT(Tableau12[[#This Row],[Nom produit]]," - ", Tableau12[[#This Row],[Variété]]))</f>
        <v>I.C.C. - Ice Cream Cake</v>
      </c>
      <c r="B59" s="287" t="s">
        <v>355</v>
      </c>
      <c r="C59" s="279">
        <v>671148601154</v>
      </c>
      <c r="D59" s="282" t="s">
        <v>87</v>
      </c>
      <c r="E59" s="281" t="s">
        <v>135</v>
      </c>
      <c r="F59" s="281" t="s">
        <v>87</v>
      </c>
      <c r="G59" s="282" t="s">
        <v>356</v>
      </c>
      <c r="H59" s="287" t="s">
        <v>286</v>
      </c>
      <c r="I59" s="282" t="s">
        <v>261</v>
      </c>
      <c r="J59" s="281" t="s">
        <v>336</v>
      </c>
      <c r="K59" s="289">
        <v>99.9</v>
      </c>
    </row>
    <row r="60" spans="1:11" ht="13.5" thickBot="1" x14ac:dyDescent="0.25">
      <c r="A60" s="163" t="str">
        <f>IF(Tableau12[[#This Row],[Nom produit]]=Tableau12[[#This Row],[Variété]],Tableau12[[#This Row],[Nom produit]],_xlfn.CONCAT(Tableau12[[#This Row],[Nom produit]]," - ", Tableau12[[#This Row],[Variété]]))</f>
        <v>Le Gros Indica - Mélange</v>
      </c>
      <c r="B60" s="287" t="s">
        <v>357</v>
      </c>
      <c r="C60" s="279">
        <v>826966011931</v>
      </c>
      <c r="D60" s="282" t="s">
        <v>87</v>
      </c>
      <c r="E60" s="281" t="s">
        <v>135</v>
      </c>
      <c r="F60" s="281" t="s">
        <v>87</v>
      </c>
      <c r="G60" s="282" t="s">
        <v>358</v>
      </c>
      <c r="H60" s="287" t="s">
        <v>283</v>
      </c>
      <c r="I60" s="282" t="s">
        <v>87</v>
      </c>
      <c r="J60" s="281" t="s">
        <v>336</v>
      </c>
      <c r="K60" s="289">
        <v>154.80000000000001</v>
      </c>
    </row>
    <row r="61" spans="1:11" ht="13.5" thickBot="1" x14ac:dyDescent="0.25">
      <c r="A61" s="281" t="str">
        <f>IF(Tableau12[[#This Row],[Nom produit]]=Tableau12[[#This Row],[Variété]],Tableau12[[#This Row],[Nom produit]],_xlfn.CONCAT(Tableau12[[#This Row],[Nom produit]]," - ", Tableau12[[#This Row],[Variété]]))</f>
        <v>Mango</v>
      </c>
      <c r="B61" s="287" t="s">
        <v>359</v>
      </c>
      <c r="C61" s="279">
        <v>826966012846</v>
      </c>
      <c r="D61" s="282" t="s">
        <v>87</v>
      </c>
      <c r="E61" s="281" t="s">
        <v>135</v>
      </c>
      <c r="F61" s="281" t="s">
        <v>87</v>
      </c>
      <c r="G61" s="282" t="s">
        <v>359</v>
      </c>
      <c r="H61" s="287" t="s">
        <v>283</v>
      </c>
      <c r="I61" s="282" t="s">
        <v>284</v>
      </c>
      <c r="J61" s="281" t="s">
        <v>336</v>
      </c>
      <c r="K61" s="289">
        <v>125.8</v>
      </c>
    </row>
    <row r="62" spans="1:11" ht="13.5" thickBot="1" x14ac:dyDescent="0.25">
      <c r="A62" s="281" t="str">
        <f>IF(Tableau12[[#This Row],[Nom produit]]=Tableau12[[#This Row],[Variété]],Tableau12[[#This Row],[Nom produit]],_xlfn.CONCAT(Tableau12[[#This Row],[Nom produit]]," - ", Tableau12[[#This Row],[Variété]]))</f>
        <v>Mélange Indica - En rotation</v>
      </c>
      <c r="B62" s="287" t="s">
        <v>360</v>
      </c>
      <c r="C62" s="279">
        <v>800129900041</v>
      </c>
      <c r="D62" s="282" t="s">
        <v>272</v>
      </c>
      <c r="E62" s="281" t="s">
        <v>135</v>
      </c>
      <c r="F62" s="281" t="s">
        <v>87</v>
      </c>
      <c r="G62" s="282" t="s">
        <v>264</v>
      </c>
      <c r="H62" s="287" t="s">
        <v>298</v>
      </c>
      <c r="I62" s="282" t="s">
        <v>269</v>
      </c>
      <c r="J62" s="281" t="s">
        <v>336</v>
      </c>
      <c r="K62" s="289">
        <v>135.6</v>
      </c>
    </row>
    <row r="63" spans="1:11" ht="13.5" thickBot="1" x14ac:dyDescent="0.25">
      <c r="A63" s="281" t="str">
        <f>IF(Tableau12[[#This Row],[Nom produit]]=Tableau12[[#This Row],[Variété]],Tableau12[[#This Row],[Nom produit]],_xlfn.CONCAT(Tableau12[[#This Row],[Nom produit]]," - ", Tableau12[[#This Row],[Variété]]))</f>
        <v>Motor Breath</v>
      </c>
      <c r="B63" s="351" t="s">
        <v>361</v>
      </c>
      <c r="C63" s="352">
        <v>628242802161</v>
      </c>
      <c r="D63" s="285" t="s">
        <v>87</v>
      </c>
      <c r="E63" s="284" t="s">
        <v>135</v>
      </c>
      <c r="F63" s="284" t="s">
        <v>87</v>
      </c>
      <c r="G63" s="284" t="s">
        <v>361</v>
      </c>
      <c r="H63" s="351" t="s">
        <v>292</v>
      </c>
      <c r="I63" s="286" t="s">
        <v>362</v>
      </c>
      <c r="J63" s="284" t="s">
        <v>262</v>
      </c>
      <c r="K63" s="353">
        <v>140.19999999999999</v>
      </c>
    </row>
    <row r="64" spans="1:11" ht="13.5" thickBot="1" x14ac:dyDescent="0.25">
      <c r="A64" s="281" t="str">
        <f>IF(Tableau12[[#This Row],[Nom produit]]=Tableau12[[#This Row],[Variété]],Tableau12[[#This Row],[Nom produit]],_xlfn.CONCAT(Tableau12[[#This Row],[Nom produit]]," - ", Tableau12[[#This Row],[Variété]]))</f>
        <v>OG Kush Biologique - OG Kush</v>
      </c>
      <c r="B64" s="287" t="s">
        <v>363</v>
      </c>
      <c r="C64" s="279">
        <v>688318001096</v>
      </c>
      <c r="D64" s="287" t="s">
        <v>87</v>
      </c>
      <c r="E64" s="288" t="s">
        <v>135</v>
      </c>
      <c r="F64" s="288" t="s">
        <v>87</v>
      </c>
      <c r="G64" s="287" t="s">
        <v>364</v>
      </c>
      <c r="H64" s="287" t="s">
        <v>365</v>
      </c>
      <c r="I64" s="287" t="s">
        <v>261</v>
      </c>
      <c r="J64" s="288" t="s">
        <v>336</v>
      </c>
      <c r="K64" s="289">
        <v>144</v>
      </c>
    </row>
    <row r="65" spans="1:11" ht="13.5" thickBot="1" x14ac:dyDescent="0.25">
      <c r="A65" s="281" t="str">
        <f>IF(Tableau12[[#This Row],[Nom produit]]=Tableau12[[#This Row],[Variété]],Tableau12[[#This Row],[Nom produit]],_xlfn.CONCAT(Tableau12[[#This Row],[Nom produit]]," - ", Tableau12[[#This Row],[Variété]]))</f>
        <v>OS.Génétiques Kush - En rotation</v>
      </c>
      <c r="B65" s="287" t="s">
        <v>366</v>
      </c>
      <c r="C65" s="279">
        <v>697238121548</v>
      </c>
      <c r="D65" s="287" t="s">
        <v>272</v>
      </c>
      <c r="E65" s="288" t="s">
        <v>135</v>
      </c>
      <c r="F65" s="288" t="s">
        <v>87</v>
      </c>
      <c r="G65" s="287" t="s">
        <v>264</v>
      </c>
      <c r="H65" s="287" t="s">
        <v>288</v>
      </c>
      <c r="I65" s="287" t="s">
        <v>269</v>
      </c>
      <c r="J65" s="288" t="s">
        <v>336</v>
      </c>
      <c r="K65" s="289">
        <v>125.8</v>
      </c>
    </row>
    <row r="66" spans="1:11" ht="15.75" thickBot="1" x14ac:dyDescent="0.3">
      <c r="A66" s="281" t="str">
        <f>IF(Tableau12[[#This Row],[Nom produit]]=Tableau12[[#This Row],[Variété]],Tableau12[[#This Row],[Nom produit]],_xlfn.CONCAT(Tableau12[[#This Row],[Nom produit]]," - ", Tableau12[[#This Row],[Variété]]))</f>
        <v>OS.Indica - En rotation</v>
      </c>
      <c r="B66" s="326" t="s">
        <v>367</v>
      </c>
      <c r="C66" s="326">
        <v>697238113192</v>
      </c>
      <c r="D66" s="326" t="s">
        <v>272</v>
      </c>
      <c r="E66" s="326" t="s">
        <v>135</v>
      </c>
      <c r="F66" s="326" t="s">
        <v>87</v>
      </c>
      <c r="G66" s="326" t="s">
        <v>264</v>
      </c>
      <c r="H66" s="326" t="s">
        <v>288</v>
      </c>
      <c r="I66" s="326" t="s">
        <v>87</v>
      </c>
      <c r="J66" s="326" t="s">
        <v>336</v>
      </c>
      <c r="K66" s="326">
        <v>125.7</v>
      </c>
    </row>
    <row r="67" spans="1:11" ht="13.5" thickBot="1" x14ac:dyDescent="0.25">
      <c r="A67" s="281" t="str">
        <f>IF(Tableau12[[#This Row],[Nom produit]]=Tableau12[[#This Row],[Variété]],Tableau12[[#This Row],[Nom produit]],_xlfn.CONCAT(Tableau12[[#This Row],[Nom produit]]," - ", Tableau12[[#This Row],[Variété]]))</f>
        <v>Pine Tar Kush</v>
      </c>
      <c r="B67" s="287" t="s">
        <v>151</v>
      </c>
      <c r="C67" s="279">
        <v>820939001622</v>
      </c>
      <c r="D67" s="287" t="s">
        <v>87</v>
      </c>
      <c r="E67" s="288" t="s">
        <v>135</v>
      </c>
      <c r="F67" s="288" t="s">
        <v>87</v>
      </c>
      <c r="G67" s="287" t="s">
        <v>151</v>
      </c>
      <c r="H67" s="287" t="s">
        <v>260</v>
      </c>
      <c r="I67" s="287" t="s">
        <v>299</v>
      </c>
      <c r="J67" s="288" t="s">
        <v>336</v>
      </c>
      <c r="K67" s="289">
        <v>125.8</v>
      </c>
    </row>
    <row r="68" spans="1:11" x14ac:dyDescent="0.2">
      <c r="A68" s="163" t="str">
        <f>IF(Tableau12[[#This Row],[Nom produit]]=Tableau12[[#This Row],[Variété]],Tableau12[[#This Row],[Nom produit]],_xlfn.CONCAT(Tableau12[[#This Row],[Nom produit]]," - ", Tableau12[[#This Row],[Variété]]))</f>
        <v>Pink Cookies</v>
      </c>
      <c r="B68" s="284" t="s">
        <v>154</v>
      </c>
      <c r="C68" s="285">
        <v>671148601222</v>
      </c>
      <c r="D68" s="285" t="s">
        <v>87</v>
      </c>
      <c r="E68" s="284" t="s">
        <v>135</v>
      </c>
      <c r="F68" s="284" t="s">
        <v>87</v>
      </c>
      <c r="G68" s="284" t="s">
        <v>154</v>
      </c>
      <c r="H68" s="284" t="s">
        <v>286</v>
      </c>
      <c r="I68" s="286" t="s">
        <v>284</v>
      </c>
      <c r="J68" s="284" t="s">
        <v>262</v>
      </c>
      <c r="K68" s="286">
        <v>140.19999999999999</v>
      </c>
    </row>
    <row r="69" spans="1:11" x14ac:dyDescent="0.2">
      <c r="A69" s="163" t="str">
        <f>IF(Tableau12[[#This Row],[Nom produit]]=Tableau12[[#This Row],[Variété]],Tableau12[[#This Row],[Nom produit]],_xlfn.CONCAT(Tableau12[[#This Row],[Nom produit]]," - ", Tableau12[[#This Row],[Variété]]))</f>
        <v>Powdered Donuts</v>
      </c>
      <c r="B69" s="282" t="s">
        <v>368</v>
      </c>
      <c r="C69" s="278">
        <v>688083008535</v>
      </c>
      <c r="D69" s="282" t="s">
        <v>87</v>
      </c>
      <c r="E69" s="281" t="s">
        <v>135</v>
      </c>
      <c r="F69" s="281" t="s">
        <v>87</v>
      </c>
      <c r="G69" s="282" t="s">
        <v>368</v>
      </c>
      <c r="H69" s="282" t="s">
        <v>271</v>
      </c>
      <c r="I69" s="282" t="s">
        <v>284</v>
      </c>
      <c r="J69" s="281" t="s">
        <v>336</v>
      </c>
      <c r="K69" s="283">
        <v>141.4</v>
      </c>
    </row>
    <row r="70" spans="1:11" ht="15" x14ac:dyDescent="0.25">
      <c r="A70" s="163" t="str">
        <f>IF(Tableau12[[#This Row],[Nom produit]]=Tableau12[[#This Row],[Variété]],Tableau12[[#This Row],[Nom produit]],_xlfn.CONCAT(Tableau12[[#This Row],[Nom produit]]," - ", Tableau12[[#This Row],[Variété]]))</f>
        <v>Purple Punch-Out</v>
      </c>
      <c r="B70" t="s">
        <v>369</v>
      </c>
      <c r="C70" s="429"/>
      <c r="D70" t="s">
        <v>87</v>
      </c>
      <c r="E70" s="286" t="s">
        <v>135</v>
      </c>
      <c r="F70" s="284" t="s">
        <v>87</v>
      </c>
      <c r="G70" t="s">
        <v>369</v>
      </c>
      <c r="H70" t="s">
        <v>275</v>
      </c>
      <c r="I70" t="s">
        <v>284</v>
      </c>
      <c r="J70" s="281" t="s">
        <v>336</v>
      </c>
      <c r="K70" s="474">
        <v>130.19999999999999</v>
      </c>
    </row>
    <row r="71" spans="1:11" x14ac:dyDescent="0.2">
      <c r="A71" s="281" t="str">
        <f>IF(Tableau12[[#This Row],[Nom produit]]=Tableau12[[#This Row],[Variété]],Tableau12[[#This Row],[Nom produit]],_xlfn.CONCAT(Tableau12[[#This Row],[Nom produit]]," - ", Tableau12[[#This Row],[Variété]]))</f>
        <v>Rotterdam Indica - En rotation</v>
      </c>
      <c r="B71" s="282" t="s">
        <v>370</v>
      </c>
      <c r="C71" s="278">
        <v>827763000487</v>
      </c>
      <c r="D71" s="282" t="s">
        <v>87</v>
      </c>
      <c r="E71" s="281" t="s">
        <v>135</v>
      </c>
      <c r="F71" s="281" t="s">
        <v>87</v>
      </c>
      <c r="G71" s="282" t="s">
        <v>264</v>
      </c>
      <c r="H71" s="282" t="s">
        <v>265</v>
      </c>
      <c r="I71" s="282" t="s">
        <v>299</v>
      </c>
      <c r="J71" s="281" t="s">
        <v>336</v>
      </c>
      <c r="K71" s="283">
        <v>147.30000000000001</v>
      </c>
    </row>
    <row r="72" spans="1:11" x14ac:dyDescent="0.2">
      <c r="A72" s="281" t="str">
        <f>IF(Tableau12[[#This Row],[Nom produit]]=Tableau12[[#This Row],[Variété]],Tableau12[[#This Row],[Nom produit]],_xlfn.CONCAT(Tableau12[[#This Row],[Nom produit]]," - ", Tableau12[[#This Row],[Variété]]))</f>
        <v>Serial Jealousy</v>
      </c>
      <c r="B72" s="163" t="s">
        <v>156</v>
      </c>
      <c r="C72" s="429">
        <v>671148601413</v>
      </c>
      <c r="D72" s="163" t="s">
        <v>87</v>
      </c>
      <c r="E72" s="430" t="s">
        <v>135</v>
      </c>
      <c r="F72" s="430" t="s">
        <v>87</v>
      </c>
      <c r="G72" s="163" t="s">
        <v>156</v>
      </c>
      <c r="H72" s="163" t="s">
        <v>286</v>
      </c>
      <c r="I72" s="163" t="s">
        <v>284</v>
      </c>
      <c r="J72" s="163" t="s">
        <v>336</v>
      </c>
      <c r="K72" s="247">
        <v>99.9</v>
      </c>
    </row>
    <row r="73" spans="1:11" x14ac:dyDescent="0.2">
      <c r="A73" s="163" t="str">
        <f>IF(Tableau12[[#This Row],[Nom produit]]=Tableau12[[#This Row],[Variété]],Tableau12[[#This Row],[Nom produit]],_xlfn.CONCAT(Tableau12[[#This Row],[Nom produit]]," - ", Tableau12[[#This Row],[Variété]]))</f>
        <v>Slapz</v>
      </c>
      <c r="B73" s="282" t="s">
        <v>152</v>
      </c>
      <c r="C73" s="278">
        <v>628124828036</v>
      </c>
      <c r="D73" s="282" t="s">
        <v>272</v>
      </c>
      <c r="E73" s="281" t="s">
        <v>135</v>
      </c>
      <c r="F73" s="281" t="s">
        <v>87</v>
      </c>
      <c r="G73" s="282" t="s">
        <v>152</v>
      </c>
      <c r="H73" s="282" t="s">
        <v>237</v>
      </c>
      <c r="I73" s="282" t="s">
        <v>284</v>
      </c>
      <c r="J73" s="281" t="s">
        <v>336</v>
      </c>
      <c r="K73" s="283">
        <v>153</v>
      </c>
    </row>
    <row r="74" spans="1:11" x14ac:dyDescent="0.2">
      <c r="A74" s="281" t="str">
        <f>IF(Tableau12[[#This Row],[Nom produit]]=Tableau12[[#This Row],[Variété]],Tableau12[[#This Row],[Nom produit]],_xlfn.CONCAT(Tableau12[[#This Row],[Nom produit]]," - ", Tableau12[[#This Row],[Variété]]))</f>
        <v>Spinach Vanilla Kush</v>
      </c>
      <c r="B74" s="163" t="s">
        <v>153</v>
      </c>
      <c r="C74" s="429">
        <v>841432010874</v>
      </c>
      <c r="D74" s="163" t="s">
        <v>87</v>
      </c>
      <c r="E74" s="430" t="s">
        <v>135</v>
      </c>
      <c r="F74" s="430" t="s">
        <v>87</v>
      </c>
      <c r="G74" s="163" t="s">
        <v>153</v>
      </c>
      <c r="H74" s="163" t="s">
        <v>305</v>
      </c>
      <c r="I74" s="163" t="s">
        <v>261</v>
      </c>
      <c r="J74" s="163" t="s">
        <v>262</v>
      </c>
      <c r="K74" s="247">
        <v>129.80000000000001</v>
      </c>
    </row>
    <row r="75" spans="1:11" x14ac:dyDescent="0.2">
      <c r="A75" s="281" t="str">
        <f>IF(Tableau12[[#This Row],[Nom produit]]=Tableau12[[#This Row],[Variété]],Tableau12[[#This Row],[Nom produit]],_xlfn.CONCAT(Tableau12[[#This Row],[Nom produit]]," - ", Tableau12[[#This Row],[Variété]]))</f>
        <v>Starwalker Kush - Skywalker Kush</v>
      </c>
      <c r="B75" s="282" t="s">
        <v>371</v>
      </c>
      <c r="C75" s="278">
        <v>694144008710</v>
      </c>
      <c r="D75" s="282" t="s">
        <v>87</v>
      </c>
      <c r="E75" s="281" t="s">
        <v>135</v>
      </c>
      <c r="F75" s="281" t="s">
        <v>87</v>
      </c>
      <c r="G75" s="282" t="s">
        <v>372</v>
      </c>
      <c r="H75" s="282" t="s">
        <v>220</v>
      </c>
      <c r="I75" s="282" t="s">
        <v>284</v>
      </c>
      <c r="J75" s="281" t="s">
        <v>336</v>
      </c>
      <c r="K75" s="283">
        <v>125.8</v>
      </c>
    </row>
    <row r="76" spans="1:11" x14ac:dyDescent="0.2">
      <c r="A76" s="281" t="str">
        <f>IF(Tableau12[[#This Row],[Nom produit]]=Tableau12[[#This Row],[Variété]],Tableau12[[#This Row],[Nom produit]],_xlfn.CONCAT(Tableau12[[#This Row],[Nom produit]]," - ", Tableau12[[#This Row],[Variété]]))</f>
        <v>Sunset Sherbet</v>
      </c>
      <c r="B76" s="281" t="s">
        <v>373</v>
      </c>
      <c r="C76" s="280">
        <v>628242321075</v>
      </c>
      <c r="D76" s="281" t="s">
        <v>87</v>
      </c>
      <c r="E76" s="281" t="s">
        <v>135</v>
      </c>
      <c r="F76" s="281" t="s">
        <v>87</v>
      </c>
      <c r="G76" s="281" t="s">
        <v>373</v>
      </c>
      <c r="H76" s="281" t="s">
        <v>302</v>
      </c>
      <c r="I76" s="281" t="s">
        <v>284</v>
      </c>
      <c r="J76" s="281" t="s">
        <v>262</v>
      </c>
      <c r="K76" s="290">
        <v>245.3</v>
      </c>
    </row>
    <row r="77" spans="1:11" ht="15" x14ac:dyDescent="0.25">
      <c r="A77" s="163" t="str">
        <f>IF(Tableau12[[#This Row],[Nom produit]]=Tableau12[[#This Row],[Variété]],Tableau12[[#This Row],[Nom produit]],_xlfn.CONCAT(Tableau12[[#This Row],[Nom produit]]," - ", Tableau12[[#This Row],[Variété]]))</f>
        <v>Sweet Berry Kush</v>
      </c>
      <c r="B77" t="s">
        <v>155</v>
      </c>
      <c r="C77" s="429"/>
      <c r="D77" t="s">
        <v>87</v>
      </c>
      <c r="E77" s="286" t="s">
        <v>135</v>
      </c>
      <c r="F77" s="284" t="s">
        <v>87</v>
      </c>
      <c r="G77" t="s">
        <v>155</v>
      </c>
      <c r="H77" t="s">
        <v>220</v>
      </c>
      <c r="I77" t="s">
        <v>261</v>
      </c>
      <c r="J77" s="284" t="s">
        <v>262</v>
      </c>
      <c r="K77" s="474">
        <v>125.8</v>
      </c>
    </row>
    <row r="78" spans="1:11" ht="15" x14ac:dyDescent="0.25">
      <c r="A78" s="281" t="str">
        <f>IF(Tableau12[[#This Row],[Nom produit]]=Tableau12[[#This Row],[Variété]],Tableau12[[#This Row],[Nom produit]],_xlfn.CONCAT(Tableau12[[#This Row],[Nom produit]]," - ", Tableau12[[#This Row],[Variété]]))</f>
        <v>Triple Blue</v>
      </c>
      <c r="B78" s="325" t="s">
        <v>332</v>
      </c>
      <c r="C78" s="335">
        <v>827885015970</v>
      </c>
      <c r="D78" s="163" t="s">
        <v>87</v>
      </c>
      <c r="E78" s="284" t="s">
        <v>135</v>
      </c>
      <c r="F78" s="284" t="s">
        <v>87</v>
      </c>
      <c r="G78" s="163" t="s">
        <v>332</v>
      </c>
      <c r="H78" s="325" t="s">
        <v>333</v>
      </c>
      <c r="J78" t="s">
        <v>262</v>
      </c>
      <c r="K78" s="354">
        <v>245.3</v>
      </c>
    </row>
    <row r="79" spans="1:11" x14ac:dyDescent="0.2">
      <c r="A79" s="281" t="str">
        <f>IF(Tableau12[[#This Row],[Nom produit]]=Tableau12[[#This Row],[Variété]],Tableau12[[#This Row],[Nom produit]],_xlfn.CONCAT(Tableau12[[#This Row],[Nom produit]]," - ", Tableau12[[#This Row],[Variété]]))</f>
        <v>Twd.28 Indica - En rotation</v>
      </c>
      <c r="B79" s="284" t="s">
        <v>374</v>
      </c>
      <c r="C79" s="285">
        <v>688083003967</v>
      </c>
      <c r="D79" s="285" t="s">
        <v>87</v>
      </c>
      <c r="E79" s="284" t="s">
        <v>135</v>
      </c>
      <c r="F79" s="284" t="s">
        <v>87</v>
      </c>
      <c r="G79" s="284" t="s">
        <v>264</v>
      </c>
      <c r="H79" s="284" t="s">
        <v>268</v>
      </c>
      <c r="I79" s="286" t="s">
        <v>87</v>
      </c>
      <c r="J79" s="284" t="s">
        <v>262</v>
      </c>
      <c r="K79" s="286">
        <v>159</v>
      </c>
    </row>
    <row r="80" spans="1:11" ht="15" x14ac:dyDescent="0.25">
      <c r="A80" s="281" t="str">
        <f>IF(Tableau12[[#This Row],[Nom produit]]=Tableau12[[#This Row],[Variété]],Tableau12[[#This Row],[Nom produit]],_xlfn.CONCAT(Tableau12[[#This Row],[Nom produit]]," - ", Tableau12[[#This Row],[Variété]]))</f>
        <v>Vanilla Gelato - Vanilla Ice</v>
      </c>
      <c r="B80" s="325" t="s">
        <v>375</v>
      </c>
      <c r="C80" s="335">
        <v>671148011106</v>
      </c>
      <c r="D80" s="163" t="s">
        <v>87</v>
      </c>
      <c r="E80" s="284" t="s">
        <v>135</v>
      </c>
      <c r="F80" s="284" t="s">
        <v>87</v>
      </c>
      <c r="G80" s="163" t="s">
        <v>376</v>
      </c>
      <c r="H80" s="325" t="s">
        <v>275</v>
      </c>
      <c r="J80" t="s">
        <v>262</v>
      </c>
      <c r="K80" s="354">
        <v>130.19999999999999</v>
      </c>
    </row>
    <row r="81" spans="1:12" ht="20.100000000000001" customHeight="1" x14ac:dyDescent="0.2">
      <c r="K81" s="164"/>
    </row>
    <row r="82" spans="1:12" ht="14.25" x14ac:dyDescent="0.2">
      <c r="A82" s="644" t="s">
        <v>377</v>
      </c>
      <c r="B82" s="644"/>
      <c r="C82" s="644"/>
      <c r="D82" s="644"/>
      <c r="E82" s="644"/>
      <c r="F82" s="644"/>
      <c r="G82" s="644"/>
      <c r="H82" s="644"/>
      <c r="I82" s="644"/>
      <c r="J82" s="644"/>
      <c r="K82" s="644"/>
    </row>
    <row r="83" spans="1:12" x14ac:dyDescent="0.2">
      <c r="A83" s="165" t="s">
        <v>330</v>
      </c>
      <c r="B83" s="165" t="s">
        <v>250</v>
      </c>
      <c r="C83" s="165" t="s">
        <v>251</v>
      </c>
      <c r="D83" s="165" t="s">
        <v>252</v>
      </c>
      <c r="E83" s="165" t="s">
        <v>253</v>
      </c>
      <c r="F83" s="165" t="s">
        <v>254</v>
      </c>
      <c r="G83" s="165" t="s">
        <v>255</v>
      </c>
      <c r="H83" s="165" t="s">
        <v>4</v>
      </c>
      <c r="I83" s="165" t="s">
        <v>256</v>
      </c>
      <c r="J83" s="165" t="s">
        <v>5</v>
      </c>
      <c r="K83" s="165" t="s">
        <v>6</v>
      </c>
      <c r="L83" s="165" t="s">
        <v>257</v>
      </c>
    </row>
    <row r="84" spans="1:12" x14ac:dyDescent="0.2">
      <c r="A84" s="281">
        <f>Tableau13[[#This Row],[Nom produit]]</f>
        <v>1993</v>
      </c>
      <c r="B84" s="281">
        <v>1993</v>
      </c>
      <c r="C84" s="280"/>
      <c r="D84" s="281" t="s">
        <v>272</v>
      </c>
      <c r="E84" s="281" t="s">
        <v>142</v>
      </c>
      <c r="F84" s="281" t="s">
        <v>87</v>
      </c>
      <c r="G84" s="281" t="s">
        <v>264</v>
      </c>
      <c r="H84" s="302" t="s">
        <v>378</v>
      </c>
      <c r="I84" s="281" t="s">
        <v>87</v>
      </c>
      <c r="J84" s="281" t="s">
        <v>262</v>
      </c>
      <c r="K84" s="290">
        <v>133</v>
      </c>
      <c r="L84" s="281"/>
    </row>
    <row r="85" spans="1:12" x14ac:dyDescent="0.2">
      <c r="A85" s="281" t="s">
        <v>87</v>
      </c>
      <c r="B85" s="281" t="s">
        <v>87</v>
      </c>
      <c r="C85" s="280" t="s">
        <v>87</v>
      </c>
      <c r="D85" s="281" t="s">
        <v>87</v>
      </c>
      <c r="E85" s="281" t="s">
        <v>87</v>
      </c>
      <c r="F85" s="281" t="s">
        <v>87</v>
      </c>
      <c r="G85" s="281" t="s">
        <v>87</v>
      </c>
      <c r="H85" s="281" t="s">
        <v>87</v>
      </c>
      <c r="I85" s="281" t="s">
        <v>87</v>
      </c>
      <c r="J85" s="281" t="s">
        <v>87</v>
      </c>
      <c r="K85" s="290" t="s">
        <v>87</v>
      </c>
      <c r="L85" s="281"/>
    </row>
    <row r="86" spans="1:12" x14ac:dyDescent="0.2">
      <c r="A86" s="281" t="str">
        <f>IF(Tableau13[[#This Row],[Nom produit]]=Tableau13[[#This Row],[Variété]],Tableau13[[#This Row],[Nom produit]],_xlfn.CONCAT(Tableau13[[#This Row],[Nom produit]]," - ", Tableau13[[#This Row],[Variété]]))</f>
        <v>*Bientôt Retiré | Le MAC-1 - Le MAC-1</v>
      </c>
      <c r="B86" s="325" t="s">
        <v>379</v>
      </c>
      <c r="C86" s="335">
        <v>671148011113</v>
      </c>
      <c r="D86" s="281" t="s">
        <v>87</v>
      </c>
      <c r="E86" s="294" t="s">
        <v>142</v>
      </c>
      <c r="F86" s="281" t="s">
        <v>87</v>
      </c>
      <c r="G86" s="281" t="s">
        <v>380</v>
      </c>
      <c r="H86" s="325" t="s">
        <v>275</v>
      </c>
      <c r="I86" s="281"/>
      <c r="J86" s="282" t="s">
        <v>262</v>
      </c>
      <c r="K86" s="354">
        <v>117.2</v>
      </c>
      <c r="L86" s="281" t="s">
        <v>334</v>
      </c>
    </row>
    <row r="87" spans="1:12" x14ac:dyDescent="0.2">
      <c r="A87" s="281" t="str">
        <f>IF(Tableau13[[#This Row],[Nom produit]]=Tableau13[[#This Row],[Variété]],Tableau13[[#This Row],[Nom produit]],_xlfn.CONCAT(Tableau13[[#This Row],[Nom produit]]," - ", Tableau13[[#This Row],[Variété]]))</f>
        <v>*Bientôt Retiré | Pheno Hunter - En rotation</v>
      </c>
      <c r="B87" s="443" t="s">
        <v>381</v>
      </c>
      <c r="C87" s="335">
        <v>628124828098</v>
      </c>
      <c r="D87" s="281" t="s">
        <v>272</v>
      </c>
      <c r="E87" s="294" t="s">
        <v>142</v>
      </c>
      <c r="F87" s="281" t="s">
        <v>87</v>
      </c>
      <c r="G87" s="281" t="s">
        <v>264</v>
      </c>
      <c r="H87" s="443" t="s">
        <v>382</v>
      </c>
      <c r="I87" s="281" t="s">
        <v>87</v>
      </c>
      <c r="J87" s="282" t="s">
        <v>262</v>
      </c>
      <c r="K87" s="444">
        <v>137.1</v>
      </c>
      <c r="L87" s="281" t="s">
        <v>334</v>
      </c>
    </row>
    <row r="88" spans="1:12" x14ac:dyDescent="0.2">
      <c r="A88" s="281" t="str">
        <f>IF(Tableau13[[#This Row],[Nom produit]]=Tableau13[[#This Row],[Variété]],Tableau13[[#This Row],[Nom produit]],_xlfn.CONCAT(Tableau13[[#This Row],[Nom produit]]," - ", Tableau13[[#This Row],[Variété]]))</f>
        <v>*Bientôt Retiré | Spinach Purple Lava - Spinach Purple lava</v>
      </c>
      <c r="B88" s="325" t="s">
        <v>383</v>
      </c>
      <c r="C88" s="335">
        <v>841432010690</v>
      </c>
      <c r="D88" s="281" t="s">
        <v>87</v>
      </c>
      <c r="E88" s="294" t="s">
        <v>142</v>
      </c>
      <c r="F88" s="281" t="s">
        <v>87</v>
      </c>
      <c r="G88" s="281" t="s">
        <v>384</v>
      </c>
      <c r="H88" s="325" t="s">
        <v>305</v>
      </c>
      <c r="I88" s="281"/>
      <c r="J88" s="282" t="s">
        <v>262</v>
      </c>
      <c r="K88" s="354">
        <v>116.9</v>
      </c>
      <c r="L88" s="281" t="s">
        <v>334</v>
      </c>
    </row>
    <row r="89" spans="1:12" ht="15" x14ac:dyDescent="0.25">
      <c r="A89" s="281" t="str">
        <f>IF(Tableau13[[#This Row],[Nom produit]]=Tableau13[[#This Row],[Variété]],Tableau13[[#This Row],[Nom produit]],_xlfn.CONCAT(Tableau13[[#This Row],[Nom produit]]," - ", Tableau13[[#This Row],[Variété]]))</f>
        <v>1:1 Balancé AAAA - En rotation</v>
      </c>
      <c r="B89" t="s">
        <v>385</v>
      </c>
      <c r="C89" s="280"/>
      <c r="D89" t="s">
        <v>272</v>
      </c>
      <c r="E89" s="281" t="s">
        <v>142</v>
      </c>
      <c r="F89" t="s">
        <v>87</v>
      </c>
      <c r="G89" t="s">
        <v>264</v>
      </c>
      <c r="H89" t="s">
        <v>386</v>
      </c>
      <c r="I89" t="s">
        <v>261</v>
      </c>
      <c r="J89" s="480" t="s">
        <v>262</v>
      </c>
      <c r="K89" s="474">
        <v>225.9</v>
      </c>
      <c r="L89" s="281"/>
    </row>
    <row r="90" spans="1:12" x14ac:dyDescent="0.2">
      <c r="A90" s="281" t="str">
        <f>IF(Tableau13[[#This Row],[Nom produit]]=Tableau13[[#This Row],[Variété]],Tableau13[[#This Row],[Nom produit]],_xlfn.CONCAT(Tableau13[[#This Row],[Nom produit]]," - ", Tableau13[[#This Row],[Variété]]))</f>
        <v>AAA Hybride - White Widow</v>
      </c>
      <c r="B90" s="282" t="s">
        <v>387</v>
      </c>
      <c r="C90" s="278">
        <v>827912000979</v>
      </c>
      <c r="D90" s="282" t="s">
        <v>87</v>
      </c>
      <c r="E90" s="281" t="s">
        <v>142</v>
      </c>
      <c r="F90" s="282" t="s">
        <v>87</v>
      </c>
      <c r="G90" s="282" t="s">
        <v>388</v>
      </c>
      <c r="H90" s="291" t="s">
        <v>328</v>
      </c>
      <c r="I90" s="282" t="s">
        <v>269</v>
      </c>
      <c r="J90" s="282" t="s">
        <v>262</v>
      </c>
      <c r="K90" s="283">
        <v>134.80000000000001</v>
      </c>
      <c r="L90" s="281"/>
    </row>
    <row r="91" spans="1:12" ht="15" x14ac:dyDescent="0.25">
      <c r="A91" s="281" t="str">
        <f>IF(Tableau13[[#This Row],[Nom produit]]=Tableau13[[#This Row],[Variété]],Tableau13[[#This Row],[Nom produit]],_xlfn.CONCAT(Tableau13[[#This Row],[Nom produit]]," - ", Tableau13[[#This Row],[Variété]]))</f>
        <v>AAAA - En rotation</v>
      </c>
      <c r="B91" t="s">
        <v>389</v>
      </c>
      <c r="C91" s="280"/>
      <c r="D91" t="s">
        <v>272</v>
      </c>
      <c r="E91" s="281" t="s">
        <v>142</v>
      </c>
      <c r="F91" t="s">
        <v>87</v>
      </c>
      <c r="G91" t="s">
        <v>264</v>
      </c>
      <c r="H91" t="s">
        <v>390</v>
      </c>
      <c r="I91" t="s">
        <v>87</v>
      </c>
      <c r="J91" s="480" t="s">
        <v>262</v>
      </c>
      <c r="K91" s="474">
        <v>266.3</v>
      </c>
      <c r="L91" s="281"/>
    </row>
    <row r="92" spans="1:12" x14ac:dyDescent="0.2">
      <c r="A92" s="281" t="str">
        <f>IF(Tableau13[[#This Row],[Nom produit]]=Tableau13[[#This Row],[Variété]],Tableau13[[#This Row],[Nom produit]],_xlfn.CONCAT(Tableau13[[#This Row],[Nom produit]]," - ", Tableau13[[#This Row],[Variété]]))</f>
        <v>Artisans - En rotation</v>
      </c>
      <c r="B92" s="443" t="s">
        <v>391</v>
      </c>
      <c r="C92" s="335">
        <v>820939003350</v>
      </c>
      <c r="D92" s="281" t="s">
        <v>272</v>
      </c>
      <c r="E92" s="294" t="s">
        <v>142</v>
      </c>
      <c r="F92" s="281" t="s">
        <v>87</v>
      </c>
      <c r="G92" s="281" t="s">
        <v>264</v>
      </c>
      <c r="H92" s="443" t="s">
        <v>392</v>
      </c>
      <c r="I92" s="281" t="s">
        <v>87</v>
      </c>
      <c r="J92" s="292" t="s">
        <v>262</v>
      </c>
      <c r="K92" s="354">
        <v>154.9</v>
      </c>
      <c r="L92" s="281"/>
    </row>
    <row r="93" spans="1:12" x14ac:dyDescent="0.2">
      <c r="A93" s="281" t="str">
        <f>IF(Tableau13[[#This Row],[Nom produit]]=Tableau13[[#This Row],[Variété]],Tableau13[[#This Row],[Nom produit]],_xlfn.CONCAT(Tableau13[[#This Row],[Nom produit]]," - ", Tableau13[[#This Row],[Variété]]))</f>
        <v>BC Chimp Mints - Chimp Mints</v>
      </c>
      <c r="B93" s="282" t="s">
        <v>393</v>
      </c>
      <c r="C93" s="278">
        <v>690395001791</v>
      </c>
      <c r="D93" s="282" t="s">
        <v>87</v>
      </c>
      <c r="E93" s="281" t="s">
        <v>142</v>
      </c>
      <c r="F93" s="282" t="s">
        <v>87</v>
      </c>
      <c r="G93" s="282" t="s">
        <v>350</v>
      </c>
      <c r="H93" s="291" t="s">
        <v>394</v>
      </c>
      <c r="I93" s="282" t="s">
        <v>284</v>
      </c>
      <c r="J93" s="282" t="s">
        <v>262</v>
      </c>
      <c r="K93" s="283">
        <v>135.6</v>
      </c>
      <c r="L93" s="281"/>
    </row>
    <row r="94" spans="1:12" s="338" customFormat="1" x14ac:dyDescent="0.2">
      <c r="A94" s="508" t="str">
        <f>IF(Tableau13[[#This Row],[Nom produit]]=Tableau13[[#This Row],[Variété]],Tableau13[[#This Row],[Nom produit]],_xlfn.CONCAT(Tableau13[[#This Row],[Nom produit]]," - ", Tableau13[[#This Row],[Variété]]))</f>
        <v>RRW - Red Red Wine</v>
      </c>
      <c r="B94" s="508" t="s">
        <v>395</v>
      </c>
      <c r="C94" s="509"/>
      <c r="D94" s="508" t="s">
        <v>87</v>
      </c>
      <c r="E94" s="510" t="s">
        <v>142</v>
      </c>
      <c r="F94" s="508" t="s">
        <v>135</v>
      </c>
      <c r="G94" s="508" t="s">
        <v>396</v>
      </c>
      <c r="H94" s="511" t="s">
        <v>397</v>
      </c>
      <c r="I94" s="508" t="s">
        <v>261</v>
      </c>
      <c r="J94" s="512" t="s">
        <v>262</v>
      </c>
      <c r="K94" s="513">
        <v>161</v>
      </c>
      <c r="L94" s="508"/>
    </row>
    <row r="95" spans="1:12" x14ac:dyDescent="0.2">
      <c r="A95" s="281" t="str">
        <f>IF(Tableau13[[#This Row],[Nom produit]]=Tableau13[[#This Row],[Variété]],Tableau13[[#This Row],[Nom produit]],_xlfn.CONCAT(Tableau13[[#This Row],[Nom produit]]," - ", Tableau13[[#This Row],[Variété]]))</f>
        <v>Ben Trop - Apple Fritter</v>
      </c>
      <c r="B95" s="281" t="s">
        <v>398</v>
      </c>
      <c r="C95" s="280">
        <v>666592000912</v>
      </c>
      <c r="D95" s="281" t="s">
        <v>272</v>
      </c>
      <c r="E95" s="281" t="s">
        <v>142</v>
      </c>
      <c r="F95" s="281" t="s">
        <v>135</v>
      </c>
      <c r="G95" s="281" t="s">
        <v>399</v>
      </c>
      <c r="H95" s="302" t="s">
        <v>400</v>
      </c>
      <c r="I95" s="281" t="s">
        <v>284</v>
      </c>
      <c r="J95" s="281" t="s">
        <v>262</v>
      </c>
      <c r="K95" s="290">
        <v>109.9</v>
      </c>
      <c r="L95" s="281"/>
    </row>
    <row r="96" spans="1:12" x14ac:dyDescent="0.2">
      <c r="A96" s="281" t="str">
        <f>IF(Tableau13[[#This Row],[Nom produit]]=Tableau13[[#This Row],[Variété]],Tableau13[[#This Row],[Nom produit]],_xlfn.CONCAT(Tableau13[[#This Row],[Nom produit]]," - ", Tableau13[[#This Row],[Variété]]))</f>
        <v>Ça varie CBD - En rotation</v>
      </c>
      <c r="B96" s="325" t="s">
        <v>401</v>
      </c>
      <c r="C96" s="335">
        <v>628634099582</v>
      </c>
      <c r="D96" s="281" t="s">
        <v>272</v>
      </c>
      <c r="E96" s="294" t="s">
        <v>142</v>
      </c>
      <c r="F96" s="281" t="s">
        <v>87</v>
      </c>
      <c r="G96" s="281" t="s">
        <v>264</v>
      </c>
      <c r="H96" s="325" t="s">
        <v>402</v>
      </c>
      <c r="I96" s="281"/>
      <c r="J96" s="292" t="s">
        <v>262</v>
      </c>
      <c r="K96" s="354">
        <v>125.5</v>
      </c>
      <c r="L96" s="281"/>
    </row>
    <row r="97" spans="1:12" x14ac:dyDescent="0.2">
      <c r="A97" s="281" t="str">
        <f>IF(Tableau13[[#This Row],[Nom produit]]=Tableau13[[#This Row],[Variété]],Tableau13[[#This Row],[Nom produit]],_xlfn.CONCAT(Tableau13[[#This Row],[Nom produit]]," - ", Tableau13[[#This Row],[Variété]]))</f>
        <v>CBD Shark</v>
      </c>
      <c r="B97" s="292" t="s">
        <v>403</v>
      </c>
      <c r="C97" s="293">
        <v>628242701730</v>
      </c>
      <c r="D97" s="293" t="s">
        <v>87</v>
      </c>
      <c r="E97" s="294" t="s">
        <v>142</v>
      </c>
      <c r="F97" s="292" t="s">
        <v>135</v>
      </c>
      <c r="G97" s="292" t="s">
        <v>403</v>
      </c>
      <c r="H97" s="292" t="s">
        <v>404</v>
      </c>
      <c r="I97" s="294" t="s">
        <v>269</v>
      </c>
      <c r="J97" s="282" t="s">
        <v>262</v>
      </c>
      <c r="K97" s="294">
        <v>125.5</v>
      </c>
      <c r="L97" s="281"/>
    </row>
    <row r="98" spans="1:12" ht="13.5" thickBot="1" x14ac:dyDescent="0.25">
      <c r="A98" s="281" t="str">
        <f>IF(Tableau13[[#This Row],[Nom produit]]=Tableau13[[#This Row],[Variété]],Tableau13[[#This Row],[Nom produit]],_xlfn.CONCAT(Tableau13[[#This Row],[Nom produit]]," - ", Tableau13[[#This Row],[Variété]]))</f>
        <v>Coupe Classique - En rotation</v>
      </c>
      <c r="B98" s="431" t="s">
        <v>405</v>
      </c>
      <c r="C98" s="336">
        <v>870857000306</v>
      </c>
      <c r="D98" s="281" t="s">
        <v>272</v>
      </c>
      <c r="E98" s="300" t="s">
        <v>142</v>
      </c>
      <c r="F98" s="281" t="s">
        <v>87</v>
      </c>
      <c r="G98" s="281" t="s">
        <v>264</v>
      </c>
      <c r="H98" s="431" t="s">
        <v>406</v>
      </c>
      <c r="I98" s="281" t="s">
        <v>87</v>
      </c>
      <c r="J98" s="282" t="s">
        <v>262</v>
      </c>
      <c r="K98" s="358">
        <v>146.9</v>
      </c>
      <c r="L98" s="281"/>
    </row>
    <row r="99" spans="1:12" ht="13.5" thickBot="1" x14ac:dyDescent="0.25">
      <c r="A99" s="281" t="str">
        <f>IF(Tableau13[[#This Row],[Nom produit]]=Tableau13[[#This Row],[Variété]],Tableau13[[#This Row],[Nom produit]],_xlfn.CONCAT(Tableau13[[#This Row],[Nom produit]]," - ", Tableau13[[#This Row],[Variété]]))</f>
        <v>Endo Hybride Indica - En rotation</v>
      </c>
      <c r="B99" s="288" t="s">
        <v>407</v>
      </c>
      <c r="C99" s="295">
        <v>628176622439</v>
      </c>
      <c r="D99" s="281" t="s">
        <v>272</v>
      </c>
      <c r="E99" s="288" t="s">
        <v>142</v>
      </c>
      <c r="F99" s="281" t="s">
        <v>135</v>
      </c>
      <c r="G99" s="281" t="s">
        <v>264</v>
      </c>
      <c r="H99" s="296" t="s">
        <v>408</v>
      </c>
      <c r="I99" s="281" t="s">
        <v>87</v>
      </c>
      <c r="J99" s="282" t="s">
        <v>262</v>
      </c>
      <c r="K99" s="297">
        <v>141.4</v>
      </c>
      <c r="L99" s="281"/>
    </row>
    <row r="100" spans="1:12" ht="13.5" thickBot="1" x14ac:dyDescent="0.25">
      <c r="A100" s="281" t="str">
        <f>IF(Tableau13[[#This Row],[Nom produit]]=Tableau13[[#This Row],[Variété]],Tableau13[[#This Row],[Nom produit]],_xlfn.CONCAT(Tableau13[[#This Row],[Nom produit]]," - ", Tableau13[[#This Row],[Variété]]))</f>
        <v>Fleurs du BC - En rotation</v>
      </c>
      <c r="B100" s="298" t="s">
        <v>409</v>
      </c>
      <c r="C100" s="299">
        <v>688318001294</v>
      </c>
      <c r="D100" s="293" t="s">
        <v>87</v>
      </c>
      <c r="E100" s="300" t="s">
        <v>142</v>
      </c>
      <c r="F100" s="292" t="s">
        <v>87</v>
      </c>
      <c r="G100" s="292" t="s">
        <v>264</v>
      </c>
      <c r="H100" s="299">
        <v>1964</v>
      </c>
      <c r="I100" s="294" t="s">
        <v>87</v>
      </c>
      <c r="J100" s="292" t="s">
        <v>262</v>
      </c>
      <c r="K100" s="300">
        <v>174.9</v>
      </c>
      <c r="L100" s="281"/>
    </row>
    <row r="101" spans="1:12" ht="13.5" thickBot="1" x14ac:dyDescent="0.25">
      <c r="A101" s="281" t="str">
        <f>IF(Tableau13[[#This Row],[Nom produit]]=Tableau13[[#This Row],[Variété]],Tableau13[[#This Row],[Nom produit]],_xlfn.CONCAT(Tableau13[[#This Row],[Nom produit]]," - ", Tableau13[[#This Row],[Variété]]))</f>
        <v>Fleurs Tout Usage - Mélange</v>
      </c>
      <c r="B101" s="288" t="s">
        <v>410</v>
      </c>
      <c r="C101" s="295"/>
      <c r="D101" s="281" t="s">
        <v>272</v>
      </c>
      <c r="E101" s="288" t="s">
        <v>142</v>
      </c>
      <c r="F101" s="281" t="s">
        <v>87</v>
      </c>
      <c r="G101" s="281" t="s">
        <v>358</v>
      </c>
      <c r="H101" s="296" t="s">
        <v>411</v>
      </c>
      <c r="I101" s="281"/>
      <c r="J101" s="282" t="s">
        <v>262</v>
      </c>
      <c r="K101" s="297">
        <v>89.9</v>
      </c>
      <c r="L101" s="281"/>
    </row>
    <row r="102" spans="1:12" ht="15.75" thickBot="1" x14ac:dyDescent="0.3">
      <c r="A102" s="281" t="str">
        <f>IF(Tableau13[[#This Row],[Nom produit]]=Tableau13[[#This Row],[Variété]],Tableau13[[#This Row],[Nom produit]],_xlfn.CONCAT(Tableau13[[#This Row],[Nom produit]]," - ", Tableau13[[#This Row],[Variété]]))</f>
        <v>Galactic Gas</v>
      </c>
      <c r="B102" s="326" t="s">
        <v>412</v>
      </c>
      <c r="C102" s="295"/>
      <c r="D102" t="s">
        <v>87</v>
      </c>
      <c r="E102" s="288" t="s">
        <v>142</v>
      </c>
      <c r="F102" t="s">
        <v>135</v>
      </c>
      <c r="G102" t="s">
        <v>412</v>
      </c>
      <c r="H102" s="326" t="s">
        <v>338</v>
      </c>
      <c r="I102" t="s">
        <v>269</v>
      </c>
      <c r="J102" s="480" t="s">
        <v>262</v>
      </c>
      <c r="K102" s="475">
        <v>132</v>
      </c>
      <c r="L102" s="281"/>
    </row>
    <row r="103" spans="1:12" ht="15" x14ac:dyDescent="0.25">
      <c r="A103" s="281" t="str">
        <f>IF(Tableau13[[#This Row],[Nom produit]]=Tableau13[[#This Row],[Variété]],Tableau13[[#This Row],[Nom produit]],_xlfn.CONCAT(Tableau13[[#This Row],[Nom produit]]," - ", Tableau13[[#This Row],[Variété]]))</f>
        <v>Green Gelato</v>
      </c>
      <c r="B103" t="s">
        <v>413</v>
      </c>
      <c r="C103" s="280"/>
      <c r="D103" t="s">
        <v>87</v>
      </c>
      <c r="E103" s="281" t="s">
        <v>142</v>
      </c>
      <c r="F103" t="s">
        <v>137</v>
      </c>
      <c r="G103" t="s">
        <v>413</v>
      </c>
      <c r="H103" t="s">
        <v>344</v>
      </c>
      <c r="I103" t="s">
        <v>362</v>
      </c>
      <c r="J103" s="480" t="s">
        <v>262</v>
      </c>
      <c r="K103" s="474">
        <v>125.7</v>
      </c>
      <c r="L103" s="281"/>
    </row>
    <row r="104" spans="1:12" ht="13.5" thickBot="1" x14ac:dyDescent="0.25">
      <c r="A104" s="281" t="str">
        <f>IF(Tableau13[[#This Row],[Nom produit]]=Tableau13[[#This Row],[Variété]],Tableau13[[#This Row],[Nom produit]],_xlfn.CONCAT(Tableau13[[#This Row],[Nom produit]]," - ", Tableau13[[#This Row],[Variété]]))</f>
        <v>Gros Plaisirs - En rotation</v>
      </c>
      <c r="B104" s="287" t="s">
        <v>414</v>
      </c>
      <c r="C104" s="279">
        <v>820939001066</v>
      </c>
      <c r="D104" s="282" t="s">
        <v>87</v>
      </c>
      <c r="E104" s="288" t="s">
        <v>142</v>
      </c>
      <c r="F104" s="282" t="s">
        <v>87</v>
      </c>
      <c r="G104" s="282" t="s">
        <v>264</v>
      </c>
      <c r="H104" s="301" t="s">
        <v>243</v>
      </c>
      <c r="I104" s="282" t="s">
        <v>87</v>
      </c>
      <c r="J104" s="292" t="s">
        <v>262</v>
      </c>
      <c r="K104" s="289">
        <v>129.80000000000001</v>
      </c>
      <c r="L104" s="281"/>
    </row>
    <row r="105" spans="1:12" ht="13.5" thickBot="1" x14ac:dyDescent="0.25">
      <c r="A105" s="281" t="str">
        <f>IF(Tableau13[[#This Row],[Nom produit]]=Tableau13[[#This Row],[Variété]],Tableau13[[#This Row],[Nom produit]],_xlfn.CONCAT(Tableau13[[#This Row],[Nom produit]]," - ", Tableau13[[#This Row],[Variété]]))</f>
        <v>Harlequin 1:1</v>
      </c>
      <c r="B105" s="298" t="s">
        <v>171</v>
      </c>
      <c r="C105" s="299">
        <v>820939002254</v>
      </c>
      <c r="D105" s="293" t="s">
        <v>87</v>
      </c>
      <c r="E105" s="300" t="s">
        <v>142</v>
      </c>
      <c r="F105" s="292" t="s">
        <v>87</v>
      </c>
      <c r="G105" s="292" t="s">
        <v>171</v>
      </c>
      <c r="H105" s="298" t="s">
        <v>260</v>
      </c>
      <c r="I105" s="294" t="s">
        <v>269</v>
      </c>
      <c r="J105" s="282" t="s">
        <v>262</v>
      </c>
      <c r="K105" s="300">
        <v>125.8</v>
      </c>
      <c r="L105" s="281"/>
    </row>
    <row r="106" spans="1:12" x14ac:dyDescent="0.2">
      <c r="A106" s="281" t="str">
        <f>IF(Tableau13[[#This Row],[Nom produit]]=Tableau13[[#This Row],[Variété]],Tableau13[[#This Row],[Nom produit]],_xlfn.CONCAT(Tableau13[[#This Row],[Nom produit]]," - ", Tableau13[[#This Row],[Variété]]))</f>
        <v>Kush Mints</v>
      </c>
      <c r="B106" s="282" t="s">
        <v>415</v>
      </c>
      <c r="C106" s="278">
        <v>628242321082</v>
      </c>
      <c r="D106" s="282" t="s">
        <v>87</v>
      </c>
      <c r="E106" s="281" t="s">
        <v>142</v>
      </c>
      <c r="F106" s="282" t="s">
        <v>135</v>
      </c>
      <c r="G106" s="282" t="s">
        <v>415</v>
      </c>
      <c r="H106" s="291" t="s">
        <v>302</v>
      </c>
      <c r="I106" s="282" t="s">
        <v>261</v>
      </c>
      <c r="J106" s="292" t="s">
        <v>262</v>
      </c>
      <c r="K106" s="283">
        <v>245.3</v>
      </c>
      <c r="L106" s="281"/>
    </row>
    <row r="107" spans="1:12" ht="15.75" thickBot="1" x14ac:dyDescent="0.3">
      <c r="A107" s="281" t="str">
        <f>IF(Tableau13[[#This Row],[Nom produit]]=Tableau13[[#This Row],[Variété]],Tableau13[[#This Row],[Nom produit]],_xlfn.CONCAT(Tableau13[[#This Row],[Nom produit]]," - ", Tableau13[[#This Row],[Variété]]))</f>
        <v>L' Joe Louis - En rotation</v>
      </c>
      <c r="B107" s="326" t="s">
        <v>416</v>
      </c>
      <c r="C107" s="295"/>
      <c r="D107" t="s">
        <v>272</v>
      </c>
      <c r="E107" s="288" t="s">
        <v>142</v>
      </c>
      <c r="F107" t="s">
        <v>137</v>
      </c>
      <c r="G107" t="s">
        <v>264</v>
      </c>
      <c r="H107" s="326" t="s">
        <v>417</v>
      </c>
      <c r="I107" t="s">
        <v>87</v>
      </c>
      <c r="J107" s="281" t="s">
        <v>262</v>
      </c>
      <c r="K107" s="475">
        <v>150.5</v>
      </c>
      <c r="L107" s="281"/>
    </row>
    <row r="108" spans="1:12" ht="13.5" thickBot="1" x14ac:dyDescent="0.25">
      <c r="A108" s="281" t="str">
        <f>IF(Tableau13[[#This Row],[Nom produit]]=Tableau13[[#This Row],[Variété]],Tableau13[[#This Row],[Nom produit]],_xlfn.CONCAT(Tableau13[[#This Row],[Nom produit]]," - ", Tableau13[[#This Row],[Variété]]))</f>
        <v>Le Grand CBD - En rotation</v>
      </c>
      <c r="B108" s="431" t="s">
        <v>418</v>
      </c>
      <c r="C108" s="336">
        <v>870857001082</v>
      </c>
      <c r="D108" s="281" t="s">
        <v>272</v>
      </c>
      <c r="E108" s="300" t="s">
        <v>142</v>
      </c>
      <c r="F108" s="281" t="s">
        <v>87</v>
      </c>
      <c r="G108" s="281" t="s">
        <v>264</v>
      </c>
      <c r="H108" s="431" t="s">
        <v>419</v>
      </c>
      <c r="I108" s="281" t="s">
        <v>87</v>
      </c>
      <c r="J108" s="292" t="s">
        <v>262</v>
      </c>
      <c r="K108" s="432">
        <v>160</v>
      </c>
      <c r="L108" s="281"/>
    </row>
    <row r="109" spans="1:12" x14ac:dyDescent="0.2">
      <c r="A109" s="281" t="str">
        <f>IF(Tableau13[[#This Row],[Nom produit]]=Tableau13[[#This Row],[Variété]],Tableau13[[#This Row],[Nom produit]],_xlfn.CONCAT(Tableau13[[#This Row],[Nom produit]]," - ", Tableau13[[#This Row],[Variété]]))</f>
        <v>LE MAC-1</v>
      </c>
      <c r="B109" s="325" t="s">
        <v>420</v>
      </c>
      <c r="C109" s="335">
        <v>671148011113</v>
      </c>
      <c r="D109" s="281" t="s">
        <v>87</v>
      </c>
      <c r="E109" s="294" t="s">
        <v>142</v>
      </c>
      <c r="F109" s="281" t="s">
        <v>87</v>
      </c>
      <c r="G109" s="281" t="s">
        <v>380</v>
      </c>
      <c r="H109" s="325" t="s">
        <v>275</v>
      </c>
      <c r="I109" s="281"/>
      <c r="J109" s="282" t="s">
        <v>262</v>
      </c>
      <c r="K109" s="354">
        <v>130.19999999999999</v>
      </c>
      <c r="L109" s="281"/>
    </row>
    <row r="110" spans="1:12" x14ac:dyDescent="0.2">
      <c r="A110" s="281" t="str">
        <f>IF(Tableau13[[#This Row],[Nom produit]]=Tableau13[[#This Row],[Variété]],Tableau13[[#This Row],[Nom produit]],_xlfn.CONCAT(Tableau13[[#This Row],[Nom produit]]," - ", Tableau13[[#This Row],[Variété]]))</f>
        <v>Lemon Kush</v>
      </c>
      <c r="B110" s="281" t="s">
        <v>167</v>
      </c>
      <c r="C110" s="278">
        <v>688083010903</v>
      </c>
      <c r="D110" s="281" t="s">
        <v>87</v>
      </c>
      <c r="E110" s="281" t="s">
        <v>142</v>
      </c>
      <c r="F110" s="281"/>
      <c r="G110" s="281" t="s">
        <v>167</v>
      </c>
      <c r="H110" s="302" t="s">
        <v>271</v>
      </c>
      <c r="I110" s="281" t="s">
        <v>269</v>
      </c>
      <c r="J110" s="292" t="s">
        <v>262</v>
      </c>
      <c r="K110" s="290">
        <v>141.4</v>
      </c>
      <c r="L110" s="281"/>
    </row>
    <row r="111" spans="1:12" ht="13.5" thickBot="1" x14ac:dyDescent="0.25">
      <c r="A111" s="281" t="str">
        <f>IF(Tableau13[[#This Row],[Nom produit]]=Tableau13[[#This Row],[Variété]],Tableau13[[#This Row],[Nom produit]],_xlfn.CONCAT(Tableau13[[#This Row],[Nom produit]]," - ", Tableau13[[#This Row],[Variété]]))</f>
        <v>Little Tokyo</v>
      </c>
      <c r="B111" s="298" t="s">
        <v>421</v>
      </c>
      <c r="C111" s="299">
        <v>688083011931</v>
      </c>
      <c r="D111" s="299" t="s">
        <v>272</v>
      </c>
      <c r="E111" s="300" t="s">
        <v>142</v>
      </c>
      <c r="F111" s="298" t="s">
        <v>87</v>
      </c>
      <c r="G111" s="298" t="s">
        <v>421</v>
      </c>
      <c r="H111" s="298" t="s">
        <v>422</v>
      </c>
      <c r="I111" s="300" t="s">
        <v>284</v>
      </c>
      <c r="J111" s="282" t="s">
        <v>262</v>
      </c>
      <c r="K111" s="300">
        <v>145</v>
      </c>
      <c r="L111" s="281"/>
    </row>
    <row r="112" spans="1:12" ht="13.5" thickBot="1" x14ac:dyDescent="0.25">
      <c r="A112" s="281" t="str">
        <f>IF(Tableau13[[#This Row],[Nom produit]]=Tableau13[[#This Row],[Variété]],Tableau13[[#This Row],[Nom produit]],_xlfn.CONCAT(Tableau13[[#This Row],[Nom produit]]," - ", Tableau13[[#This Row],[Variété]]))</f>
        <v>Méli-Mélo - En rotation</v>
      </c>
      <c r="B112" s="287" t="s">
        <v>423</v>
      </c>
      <c r="C112" s="279">
        <v>628634951156</v>
      </c>
      <c r="D112" s="287" t="s">
        <v>272</v>
      </c>
      <c r="E112" s="288" t="s">
        <v>142</v>
      </c>
      <c r="F112" s="287" t="s">
        <v>87</v>
      </c>
      <c r="G112" s="287" t="s">
        <v>264</v>
      </c>
      <c r="H112" s="301" t="s">
        <v>424</v>
      </c>
      <c r="I112" s="287" t="s">
        <v>269</v>
      </c>
      <c r="J112" s="282" t="s">
        <v>262</v>
      </c>
      <c r="K112" s="289">
        <v>144.6</v>
      </c>
      <c r="L112" s="281"/>
    </row>
    <row r="113" spans="1:12" ht="13.5" thickBot="1" x14ac:dyDescent="0.25">
      <c r="A113" s="281" t="str">
        <f>IF(Tableau13[[#This Row],[Nom produit]]=Tableau13[[#This Row],[Variété]],Tableau13[[#This Row],[Nom produit]],_xlfn.CONCAT(Tableau13[[#This Row],[Nom produit]]," - ", Tableau13[[#This Row],[Variété]]))</f>
        <v>Melon Dream</v>
      </c>
      <c r="B113" s="288" t="s">
        <v>425</v>
      </c>
      <c r="C113" s="295"/>
      <c r="D113" s="288" t="s">
        <v>87</v>
      </c>
      <c r="E113" s="288" t="s">
        <v>142</v>
      </c>
      <c r="F113" s="288" t="s">
        <v>137</v>
      </c>
      <c r="G113" s="288" t="s">
        <v>425</v>
      </c>
      <c r="H113" s="296" t="s">
        <v>220</v>
      </c>
      <c r="I113" s="288" t="s">
        <v>284</v>
      </c>
      <c r="J113" s="292" t="s">
        <v>262</v>
      </c>
      <c r="K113" s="297">
        <v>125.8</v>
      </c>
      <c r="L113" s="281"/>
    </row>
    <row r="114" spans="1:12" ht="13.5" thickBot="1" x14ac:dyDescent="0.25">
      <c r="A114" s="281" t="str">
        <f>IF(Tableau13[[#This Row],[Nom produit]]=Tableau13[[#This Row],[Variété]],Tableau13[[#This Row],[Nom produit]],_xlfn.CONCAT(Tableau13[[#This Row],[Nom produit]]," - ", Tableau13[[#This Row],[Variété]]))</f>
        <v>Middelburg Hybride - En rotation</v>
      </c>
      <c r="B114" s="431" t="s">
        <v>426</v>
      </c>
      <c r="C114" s="336">
        <v>827763003457</v>
      </c>
      <c r="D114" s="288" t="s">
        <v>87</v>
      </c>
      <c r="E114" s="300" t="s">
        <v>142</v>
      </c>
      <c r="F114" s="288" t="s">
        <v>87</v>
      </c>
      <c r="G114" s="288" t="s">
        <v>264</v>
      </c>
      <c r="H114" s="431" t="s">
        <v>265</v>
      </c>
      <c r="I114" s="288" t="s">
        <v>87</v>
      </c>
      <c r="J114" s="282" t="s">
        <v>262</v>
      </c>
      <c r="K114" s="432">
        <v>147.30000000000001</v>
      </c>
      <c r="L114" s="281"/>
    </row>
    <row r="115" spans="1:12" ht="15" x14ac:dyDescent="0.25">
      <c r="A115" s="281" t="str">
        <f>IF(Tableau13[[#This Row],[Nom produit]]=Tableau13[[#This Row],[Variété]],Tableau13[[#This Row],[Nom produit]],_xlfn.CONCAT(Tableau13[[#This Row],[Nom produit]]," - ", Tableau13[[#This Row],[Variété]]))</f>
        <v>Nugz Hybride - En rotation</v>
      </c>
      <c r="B115" t="s">
        <v>427</v>
      </c>
      <c r="C115" s="280"/>
      <c r="D115" t="s">
        <v>272</v>
      </c>
      <c r="E115" s="281" t="s">
        <v>142</v>
      </c>
      <c r="F115" t="s">
        <v>87</v>
      </c>
      <c r="G115" t="s">
        <v>264</v>
      </c>
      <c r="H115" t="s">
        <v>237</v>
      </c>
      <c r="I115" t="s">
        <v>87</v>
      </c>
      <c r="J115" s="281" t="s">
        <v>262</v>
      </c>
      <c r="K115" s="474">
        <v>140</v>
      </c>
      <c r="L115" s="281"/>
    </row>
    <row r="116" spans="1:12" ht="13.5" thickBot="1" x14ac:dyDescent="0.25">
      <c r="A116" s="281" t="str">
        <f>IF(Tableau13[[#This Row],[Nom produit]]=Tableau13[[#This Row],[Variété]],Tableau13[[#This Row],[Nom produit]],_xlfn.CONCAT(Tableau13[[#This Row],[Nom produit]]," - ", Tableau13[[#This Row],[Variété]]))</f>
        <v>OS.Reserve - En rotation</v>
      </c>
      <c r="B116" s="287" t="s">
        <v>428</v>
      </c>
      <c r="C116" s="279">
        <v>697238113055</v>
      </c>
      <c r="D116" s="287" t="s">
        <v>87</v>
      </c>
      <c r="E116" s="288" t="s">
        <v>142</v>
      </c>
      <c r="F116" s="287" t="s">
        <v>87</v>
      </c>
      <c r="G116" s="287" t="s">
        <v>264</v>
      </c>
      <c r="H116" s="301" t="s">
        <v>288</v>
      </c>
      <c r="I116" s="287" t="s">
        <v>269</v>
      </c>
      <c r="J116" s="282" t="s">
        <v>262</v>
      </c>
      <c r="K116" s="289">
        <v>159.1</v>
      </c>
      <c r="L116" s="281"/>
    </row>
    <row r="117" spans="1:12" ht="13.5" thickBot="1" x14ac:dyDescent="0.25">
      <c r="A117" s="281" t="str">
        <f>IF(Tableau13[[#This Row],[Nom produit]]=Tableau13[[#This Row],[Variété]],Tableau13[[#This Row],[Nom produit]],_xlfn.CONCAT(Tableau13[[#This Row],[Nom produit]]," - ", Tableau13[[#This Row],[Variété]]))</f>
        <v>Peanut Butter Cake</v>
      </c>
      <c r="B117" s="298" t="s">
        <v>429</v>
      </c>
      <c r="C117" s="299">
        <v>688083011900</v>
      </c>
      <c r="D117" s="299" t="s">
        <v>87</v>
      </c>
      <c r="E117" s="298" t="s">
        <v>142</v>
      </c>
      <c r="F117" s="298" t="s">
        <v>87</v>
      </c>
      <c r="G117" s="298" t="s">
        <v>429</v>
      </c>
      <c r="H117" s="298" t="s">
        <v>268</v>
      </c>
      <c r="I117" s="300" t="s">
        <v>269</v>
      </c>
      <c r="J117" s="292" t="s">
        <v>262</v>
      </c>
      <c r="K117" s="300">
        <v>133.30000000000001</v>
      </c>
      <c r="L117" s="281"/>
    </row>
    <row r="118" spans="1:12" x14ac:dyDescent="0.2">
      <c r="A118" s="281" t="str">
        <f>IF(Tableau13[[#This Row],[Nom produit]]=Tableau13[[#This Row],[Variété]],Tableau13[[#This Row],[Nom produit]],_xlfn.CONCAT(Tableau13[[#This Row],[Nom produit]]," - ", Tableau13[[#This Row],[Variété]]))</f>
        <v>Petit Matin - En rotation</v>
      </c>
      <c r="B118" s="281" t="s">
        <v>430</v>
      </c>
      <c r="C118" s="280"/>
      <c r="D118" s="281" t="s">
        <v>272</v>
      </c>
      <c r="E118" s="281" t="s">
        <v>142</v>
      </c>
      <c r="F118" s="281" t="s">
        <v>87</v>
      </c>
      <c r="G118" s="281" t="s">
        <v>264</v>
      </c>
      <c r="H118" s="302" t="s">
        <v>298</v>
      </c>
      <c r="I118" s="281" t="s">
        <v>87</v>
      </c>
      <c r="J118" s="281" t="s">
        <v>262</v>
      </c>
      <c r="K118" s="290">
        <v>89.9</v>
      </c>
      <c r="L118" s="281"/>
    </row>
    <row r="119" spans="1:12" x14ac:dyDescent="0.2">
      <c r="A119" s="281" t="str">
        <f>Tableau13[[#This Row],[Nom produit]]</f>
        <v>Pheno Hunter</v>
      </c>
      <c r="B119" s="443" t="s">
        <v>431</v>
      </c>
      <c r="C119" s="335">
        <v>628124828098</v>
      </c>
      <c r="D119" s="281" t="s">
        <v>272</v>
      </c>
      <c r="E119" s="294" t="s">
        <v>142</v>
      </c>
      <c r="F119" s="281" t="s">
        <v>87</v>
      </c>
      <c r="G119" s="281" t="s">
        <v>264</v>
      </c>
      <c r="H119" s="443" t="s">
        <v>382</v>
      </c>
      <c r="I119" s="281" t="s">
        <v>87</v>
      </c>
      <c r="J119" s="282" t="s">
        <v>262</v>
      </c>
      <c r="K119" s="444">
        <v>153</v>
      </c>
      <c r="L119" s="281"/>
    </row>
    <row r="120" spans="1:12" x14ac:dyDescent="0.2">
      <c r="A120" s="281" t="str">
        <f>IF(Tableau13[[#This Row],[Nom produit]]=Tableau13[[#This Row],[Variété]],Tableau13[[#This Row],[Nom produit]],_xlfn.CONCAT(Tableau13[[#This Row],[Nom produit]]," - ", Tableau13[[#This Row],[Variété]]))</f>
        <v>QC Limité Blue Iguana - Blue Iguana</v>
      </c>
      <c r="B120" s="282" t="s">
        <v>432</v>
      </c>
      <c r="C120" s="278">
        <v>688083008092</v>
      </c>
      <c r="D120" s="282" t="s">
        <v>272</v>
      </c>
      <c r="E120" s="281" t="s">
        <v>142</v>
      </c>
      <c r="F120" s="282" t="s">
        <v>87</v>
      </c>
      <c r="G120" s="282" t="s">
        <v>433</v>
      </c>
      <c r="H120" s="291" t="s">
        <v>422</v>
      </c>
      <c r="I120" s="282" t="s">
        <v>261</v>
      </c>
      <c r="J120" s="282" t="s">
        <v>262</v>
      </c>
      <c r="K120" s="283">
        <v>145</v>
      </c>
      <c r="L120" s="281"/>
    </row>
    <row r="121" spans="1:12" ht="15" x14ac:dyDescent="0.25">
      <c r="A121" s="281" t="str">
        <f>IF(Tableau13[[#This Row],[Nom produit]]=Tableau13[[#This Row],[Variété]],Tableau13[[#This Row],[Nom produit]],_xlfn.CONCAT(Tableau13[[#This Row],[Nom produit]]," - ", Tableau13[[#This Row],[Variété]]))</f>
        <v>Rainbow Pavé</v>
      </c>
      <c r="B121" t="s">
        <v>434</v>
      </c>
      <c r="C121" s="280"/>
      <c r="D121" t="s">
        <v>272</v>
      </c>
      <c r="E121" s="281" t="s">
        <v>142</v>
      </c>
      <c r="F121" t="s">
        <v>137</v>
      </c>
      <c r="G121" t="s">
        <v>434</v>
      </c>
      <c r="H121" t="s">
        <v>435</v>
      </c>
      <c r="I121" t="s">
        <v>284</v>
      </c>
      <c r="J121" s="480" t="s">
        <v>262</v>
      </c>
      <c r="K121" s="474">
        <v>161</v>
      </c>
      <c r="L121" s="281"/>
    </row>
    <row r="122" spans="1:12" x14ac:dyDescent="0.2">
      <c r="A122" s="281" t="str">
        <f>IF(Tableau13[[#This Row],[Nom produit]]=Tableau13[[#This Row],[Variété]],Tableau13[[#This Row],[Nom produit]],_xlfn.CONCAT(Tableau13[[#This Row],[Nom produit]]," - ", Tableau13[[#This Row],[Variété]]))</f>
        <v>Scout 91K</v>
      </c>
      <c r="B122" s="443" t="s">
        <v>436</v>
      </c>
      <c r="C122" s="335">
        <v>688083015717</v>
      </c>
      <c r="D122" s="281" t="s">
        <v>272</v>
      </c>
      <c r="E122" s="294" t="s">
        <v>142</v>
      </c>
      <c r="F122" s="281" t="s">
        <v>87</v>
      </c>
      <c r="G122" s="281" t="s">
        <v>436</v>
      </c>
      <c r="H122" s="443" t="s">
        <v>422</v>
      </c>
      <c r="I122" s="281" t="s">
        <v>437</v>
      </c>
      <c r="J122" s="292" t="s">
        <v>262</v>
      </c>
      <c r="K122" s="444">
        <v>137.9</v>
      </c>
      <c r="L122" s="281"/>
    </row>
    <row r="123" spans="1:12" x14ac:dyDescent="0.2">
      <c r="A123" s="281" t="str">
        <f>IF(Tableau13[[#This Row],[Nom produit]]=Tableau13[[#This Row],[Variété]],Tableau13[[#This Row],[Nom produit]],_xlfn.CONCAT(Tableau13[[#This Row],[Nom produit]]," - ", Tableau13[[#This Row],[Variété]]))</f>
        <v>Spinach Purple Lava</v>
      </c>
      <c r="B123" s="325" t="s">
        <v>438</v>
      </c>
      <c r="C123" s="335">
        <v>841432010690</v>
      </c>
      <c r="D123" s="281" t="s">
        <v>87</v>
      </c>
      <c r="E123" s="294" t="s">
        <v>142</v>
      </c>
      <c r="F123" s="281" t="s">
        <v>87</v>
      </c>
      <c r="G123" s="281" t="s">
        <v>384</v>
      </c>
      <c r="H123" s="325" t="s">
        <v>305</v>
      </c>
      <c r="I123" s="281"/>
      <c r="J123" s="282" t="s">
        <v>262</v>
      </c>
      <c r="K123" s="354">
        <v>129.80000000000001</v>
      </c>
      <c r="L123" s="281"/>
    </row>
    <row r="124" spans="1:12" x14ac:dyDescent="0.2">
      <c r="A124" s="281" t="str">
        <f>IF(Tableau13[[#This Row],[Nom produit]]=Tableau13[[#This Row],[Variété]],Tableau13[[#This Row],[Nom produit]],_xlfn.CONCAT(Tableau13[[#This Row],[Nom produit]]," - ", Tableau13[[#This Row],[Variété]]))</f>
        <v>Symphonie - En rotation</v>
      </c>
      <c r="B124" s="292" t="s">
        <v>439</v>
      </c>
      <c r="C124" s="293">
        <v>820939002247</v>
      </c>
      <c r="D124" s="293" t="s">
        <v>272</v>
      </c>
      <c r="E124" s="294" t="s">
        <v>142</v>
      </c>
      <c r="F124" s="292" t="s">
        <v>87</v>
      </c>
      <c r="G124" s="292" t="s">
        <v>264</v>
      </c>
      <c r="H124" s="292" t="s">
        <v>440</v>
      </c>
      <c r="I124" s="294" t="s">
        <v>87</v>
      </c>
      <c r="J124" s="292" t="s">
        <v>262</v>
      </c>
      <c r="K124" s="294">
        <v>140</v>
      </c>
      <c r="L124" s="281"/>
    </row>
    <row r="125" spans="1:12" x14ac:dyDescent="0.2">
      <c r="A125" s="281" t="str">
        <f>IF(Tableau13[[#This Row],[Nom produit]]=Tableau13[[#This Row],[Variété]],Tableau13[[#This Row],[Nom produit]],_xlfn.CONCAT(Tableau13[[#This Row],[Nom produit]]," - ", Tableau13[[#This Row],[Variété]]))</f>
        <v>Une Once Hybride - En rotation</v>
      </c>
      <c r="B125" s="282" t="s">
        <v>441</v>
      </c>
      <c r="C125" s="278">
        <v>826966012198</v>
      </c>
      <c r="D125" s="282" t="s">
        <v>87</v>
      </c>
      <c r="E125" s="281" t="s">
        <v>142</v>
      </c>
      <c r="F125" s="282" t="s">
        <v>87</v>
      </c>
      <c r="G125" s="282" t="s">
        <v>264</v>
      </c>
      <c r="H125" s="291" t="s">
        <v>307</v>
      </c>
      <c r="I125" s="282" t="s">
        <v>87</v>
      </c>
      <c r="J125" s="282" t="s">
        <v>262</v>
      </c>
      <c r="K125" s="283">
        <v>135.6</v>
      </c>
      <c r="L125" s="281"/>
    </row>
    <row r="126" spans="1:12" x14ac:dyDescent="0.2">
      <c r="A126" s="281" t="str">
        <f>IF(Tableau13[[#This Row],[Nom produit]]=Tableau13[[#This Row],[Variété]],Tableau13[[#This Row],[Nom produit]],_xlfn.CONCAT(Tableau13[[#This Row],[Nom produit]]," - ", Tableau13[[#This Row],[Variété]]))</f>
        <v>Warlock</v>
      </c>
      <c r="B126" s="292" t="s">
        <v>442</v>
      </c>
      <c r="C126" s="293">
        <v>697238820069</v>
      </c>
      <c r="D126" s="293" t="s">
        <v>87</v>
      </c>
      <c r="E126" s="292" t="s">
        <v>142</v>
      </c>
      <c r="F126" s="292" t="s">
        <v>87</v>
      </c>
      <c r="G126" s="292" t="s">
        <v>442</v>
      </c>
      <c r="H126" s="292" t="s">
        <v>341</v>
      </c>
      <c r="I126" s="294" t="s">
        <v>269</v>
      </c>
      <c r="J126" s="292" t="s">
        <v>262</v>
      </c>
      <c r="K126" s="294">
        <v>144.4</v>
      </c>
      <c r="L126" s="281"/>
    </row>
    <row r="127" spans="1:12" ht="15" x14ac:dyDescent="0.25">
      <c r="A127" s="281" t="str">
        <f>IF(Tableau13[[#This Row],[Nom produit]]=Tableau13[[#This Row],[Variété]],Tableau13[[#This Row],[Nom produit]],_xlfn.CONCAT(Tableau13[[#This Row],[Nom produit]]," - ", Tableau13[[#This Row],[Variété]]))</f>
        <v>Zip - En rotation</v>
      </c>
      <c r="B127" t="s">
        <v>443</v>
      </c>
      <c r="C127" s="280"/>
      <c r="D127" t="s">
        <v>87</v>
      </c>
      <c r="E127" s="281" t="s">
        <v>142</v>
      </c>
      <c r="F127" t="s">
        <v>87</v>
      </c>
      <c r="G127" t="s">
        <v>264</v>
      </c>
      <c r="H127" t="s">
        <v>444</v>
      </c>
      <c r="I127" t="s">
        <v>269</v>
      </c>
      <c r="J127" s="480" t="s">
        <v>262</v>
      </c>
      <c r="K127" s="474">
        <v>144.80000000000001</v>
      </c>
      <c r="L127" s="281"/>
    </row>
    <row r="128" spans="1:12" s="181" customFormat="1" ht="20.100000000000001" customHeight="1" x14ac:dyDescent="0.2">
      <c r="A128" s="163"/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</row>
    <row r="130" spans="1:12" ht="14.25" x14ac:dyDescent="0.2">
      <c r="A130" s="181"/>
      <c r="B130" s="642" t="s">
        <v>445</v>
      </c>
      <c r="C130" s="642"/>
      <c r="D130" s="642"/>
      <c r="E130" s="642"/>
      <c r="F130" s="642"/>
      <c r="G130" s="642"/>
      <c r="H130" s="642"/>
      <c r="I130" s="642"/>
      <c r="J130" s="642"/>
      <c r="K130" s="642"/>
    </row>
    <row r="131" spans="1:12" x14ac:dyDescent="0.2">
      <c r="A131" s="165" t="s">
        <v>330</v>
      </c>
      <c r="B131" s="165" t="s">
        <v>250</v>
      </c>
      <c r="C131" s="165" t="s">
        <v>251</v>
      </c>
      <c r="D131" s="165" t="s">
        <v>252</v>
      </c>
      <c r="E131" s="165" t="s">
        <v>253</v>
      </c>
      <c r="F131" s="165" t="s">
        <v>254</v>
      </c>
      <c r="G131" s="165" t="s">
        <v>255</v>
      </c>
      <c r="H131" s="165" t="s">
        <v>4</v>
      </c>
      <c r="I131" s="165" t="s">
        <v>256</v>
      </c>
      <c r="J131" s="165" t="s">
        <v>5</v>
      </c>
      <c r="K131" s="165" t="s">
        <v>6</v>
      </c>
      <c r="L131" s="165" t="s">
        <v>257</v>
      </c>
    </row>
    <row r="132" spans="1:12" x14ac:dyDescent="0.2">
      <c r="A132" s="163" t="s">
        <v>87</v>
      </c>
      <c r="B132" s="163" t="s">
        <v>87</v>
      </c>
      <c r="C132" s="246" t="s">
        <v>87</v>
      </c>
      <c r="D132" s="163" t="s">
        <v>87</v>
      </c>
      <c r="E132" s="163" t="s">
        <v>87</v>
      </c>
      <c r="F132" s="163" t="s">
        <v>87</v>
      </c>
      <c r="G132" s="163" t="s">
        <v>87</v>
      </c>
      <c r="H132" s="163" t="s">
        <v>87</v>
      </c>
      <c r="I132" s="163" t="s">
        <v>87</v>
      </c>
      <c r="J132" s="163" t="s">
        <v>87</v>
      </c>
      <c r="K132" s="247" t="s">
        <v>87</v>
      </c>
    </row>
    <row r="133" spans="1:12" ht="15" x14ac:dyDescent="0.25">
      <c r="A133" s="163" t="str">
        <f>IF(Tableau14[[#This Row],[Nom produit]]=Tableau14[[#This Row],[Variété]],Tableau14[[#This Row],[Nom produit]],_xlfn.CONCAT(Tableau14[[#This Row],[Nom produit]]," - ", Tableau14[[#This Row],[Variété]]))</f>
        <v>Blanh Sativa - En rotation</v>
      </c>
      <c r="B133" t="s">
        <v>446</v>
      </c>
      <c r="C133">
        <v>628634303238</v>
      </c>
      <c r="D133" t="s">
        <v>272</v>
      </c>
      <c r="E133" t="s">
        <v>137</v>
      </c>
      <c r="F133" t="s">
        <v>87</v>
      </c>
      <c r="G133" t="s">
        <v>264</v>
      </c>
      <c r="H133" t="s">
        <v>447</v>
      </c>
      <c r="I133" t="s">
        <v>87</v>
      </c>
      <c r="J133" t="s">
        <v>448</v>
      </c>
      <c r="K133">
        <v>89.6</v>
      </c>
    </row>
    <row r="134" spans="1:12" x14ac:dyDescent="0.2">
      <c r="A134" s="163" t="str">
        <f>IF(Tableau14[[#This Row],[Nom produit]]=Tableau14[[#This Row],[Variété]],Tableau14[[#This Row],[Nom produit]],_xlfn.CONCAT(Tableau14[[#This Row],[Nom produit]]," - ", Tableau14[[#This Row],[Variété]]))</f>
        <v>Bleu Nuit - Blue Dream</v>
      </c>
      <c r="B134" s="163" t="s">
        <v>449</v>
      </c>
      <c r="C134" s="163" t="s">
        <v>450</v>
      </c>
      <c r="D134" s="163" t="s">
        <v>87</v>
      </c>
      <c r="E134" s="163" t="s">
        <v>137</v>
      </c>
      <c r="F134" s="163" t="s">
        <v>87</v>
      </c>
      <c r="G134" s="163" t="s">
        <v>451</v>
      </c>
      <c r="H134" s="163" t="s">
        <v>452</v>
      </c>
      <c r="I134" s="163" t="s">
        <v>269</v>
      </c>
      <c r="J134" s="163" t="s">
        <v>453</v>
      </c>
      <c r="K134" s="164">
        <v>130</v>
      </c>
    </row>
    <row r="135" spans="1:12" x14ac:dyDescent="0.2">
      <c r="A135" s="163" t="str">
        <f>IF(Tableau14[[#This Row],[Nom produit]]=Tableau14[[#This Row],[Variété]],Tableau14[[#This Row],[Nom produit]],_xlfn.CONCAT(Tableau14[[#This Row],[Nom produit]]," - ", Tableau14[[#This Row],[Variété]]))</f>
        <v>Choix du Cultivateur Sativa - En rotation</v>
      </c>
      <c r="B135" s="163" t="s">
        <v>454</v>
      </c>
      <c r="C135" s="163" t="s">
        <v>455</v>
      </c>
      <c r="D135" s="163" t="s">
        <v>87</v>
      </c>
      <c r="E135" s="163" t="s">
        <v>137</v>
      </c>
      <c r="F135" s="163" t="s">
        <v>87</v>
      </c>
      <c r="G135" s="163" t="s">
        <v>264</v>
      </c>
      <c r="H135" s="163" t="s">
        <v>220</v>
      </c>
      <c r="I135" s="163" t="s">
        <v>87</v>
      </c>
      <c r="J135" s="163" t="s">
        <v>453</v>
      </c>
      <c r="K135" s="164">
        <v>90.5</v>
      </c>
    </row>
    <row r="136" spans="1:12" x14ac:dyDescent="0.2">
      <c r="A136" s="163" t="str">
        <f>IF(Tableau14[[#This Row],[Nom produit]]=Tableau14[[#This Row],[Variété]],Tableau14[[#This Row],[Nom produit]],_xlfn.CONCAT(Tableau14[[#This Row],[Nom produit]]," - ", Tableau14[[#This Row],[Variété]]))</f>
        <v>Citrique électrique (Moulu) - Mélange</v>
      </c>
      <c r="B136" s="281" t="s">
        <v>535</v>
      </c>
      <c r="C136" s="281" t="s">
        <v>536</v>
      </c>
      <c r="D136" s="281" t="s">
        <v>87</v>
      </c>
      <c r="E136" s="281" t="s">
        <v>142</v>
      </c>
      <c r="F136" s="281" t="s">
        <v>87</v>
      </c>
      <c r="G136" s="281" t="s">
        <v>358</v>
      </c>
      <c r="H136" s="281" t="s">
        <v>537</v>
      </c>
      <c r="I136" s="281" t="s">
        <v>278</v>
      </c>
      <c r="J136" s="281" t="s">
        <v>453</v>
      </c>
      <c r="K136" s="303">
        <v>70.8</v>
      </c>
    </row>
    <row r="137" spans="1:12" x14ac:dyDescent="0.2">
      <c r="A137" s="163" t="str">
        <f>IF(Tableau14[[#This Row],[Nom produit]]=Tableau14[[#This Row],[Variété]],Tableau14[[#This Row],[Nom produit]],_xlfn.CONCAT(Tableau14[[#This Row],[Nom produit]]," - ", Tableau14[[#This Row],[Variété]]))</f>
        <v>Daily Special Sativa - Mélange</v>
      </c>
      <c r="B137" s="163" t="s">
        <v>456</v>
      </c>
      <c r="C137" s="163" t="s">
        <v>457</v>
      </c>
      <c r="D137" s="163" t="s">
        <v>87</v>
      </c>
      <c r="E137" s="163" t="s">
        <v>137</v>
      </c>
      <c r="F137" s="163" t="s">
        <v>87</v>
      </c>
      <c r="G137" s="163" t="s">
        <v>358</v>
      </c>
      <c r="H137" s="163" t="s">
        <v>458</v>
      </c>
      <c r="I137" s="163" t="s">
        <v>87</v>
      </c>
      <c r="J137" s="163" t="s">
        <v>453</v>
      </c>
      <c r="K137" s="164">
        <v>87</v>
      </c>
    </row>
    <row r="138" spans="1:12" x14ac:dyDescent="0.2">
      <c r="A138" s="163" t="str">
        <f>IF(Tableau14[[#This Row],[Nom produit]]=Tableau14[[#This Row],[Variété]],Tableau14[[#This Row],[Nom produit]],_xlfn.CONCAT(Tableau14[[#This Row],[Nom produit]]," - ", Tableau14[[#This Row],[Variété]]))</f>
        <v>Delahaze</v>
      </c>
      <c r="B138" s="163" t="s">
        <v>462</v>
      </c>
      <c r="C138" s="163" t="s">
        <v>463</v>
      </c>
      <c r="D138" s="163" t="s">
        <v>87</v>
      </c>
      <c r="E138" s="163" t="s">
        <v>137</v>
      </c>
      <c r="F138" s="163" t="s">
        <v>87</v>
      </c>
      <c r="G138" s="163" t="s">
        <v>462</v>
      </c>
      <c r="H138" s="163" t="s">
        <v>464</v>
      </c>
      <c r="I138" s="163" t="s">
        <v>278</v>
      </c>
      <c r="J138" s="163" t="s">
        <v>453</v>
      </c>
      <c r="K138" s="164">
        <v>133.30000000000001</v>
      </c>
    </row>
    <row r="139" spans="1:12" x14ac:dyDescent="0.2">
      <c r="A139" s="163" t="str">
        <f>IF(Tableau14[[#This Row],[Nom produit]]=Tableau14[[#This Row],[Variété]],Tableau14[[#This Row],[Nom produit]],_xlfn.CONCAT(Tableau14[[#This Row],[Nom produit]]," - ", Tableau14[[#This Row],[Variété]]))</f>
        <v>Hélios - Snow Leopard</v>
      </c>
      <c r="B139" s="163" t="s">
        <v>465</v>
      </c>
      <c r="C139" s="163" t="s">
        <v>466</v>
      </c>
      <c r="D139" s="163" t="s">
        <v>272</v>
      </c>
      <c r="E139" s="163" t="s">
        <v>137</v>
      </c>
      <c r="F139" s="163" t="s">
        <v>87</v>
      </c>
      <c r="G139" s="163" t="s">
        <v>467</v>
      </c>
      <c r="H139" s="163" t="s">
        <v>468</v>
      </c>
      <c r="I139" s="163" t="s">
        <v>269</v>
      </c>
      <c r="J139" s="163" t="s">
        <v>453</v>
      </c>
      <c r="K139" s="164">
        <v>91.7</v>
      </c>
    </row>
    <row r="140" spans="1:12" x14ac:dyDescent="0.2">
      <c r="A140" s="163" t="str">
        <f>IF(Tableau14[[#This Row],[Nom produit]]=Tableau14[[#This Row],[Variété]],Tableau14[[#This Row],[Nom produit]],_xlfn.CONCAT(Tableau14[[#This Row],[Nom produit]]," - ", Tableau14[[#This Row],[Variété]]))</f>
        <v>Jean Guy</v>
      </c>
      <c r="B140" s="163" t="s">
        <v>140</v>
      </c>
      <c r="C140" s="163" t="s">
        <v>470</v>
      </c>
      <c r="D140" s="163" t="s">
        <v>87</v>
      </c>
      <c r="E140" s="163" t="s">
        <v>137</v>
      </c>
      <c r="F140" s="163" t="s">
        <v>87</v>
      </c>
      <c r="G140" s="163" t="s">
        <v>140</v>
      </c>
      <c r="H140" s="163" t="s">
        <v>220</v>
      </c>
      <c r="I140" s="163" t="s">
        <v>284</v>
      </c>
      <c r="J140" s="163" t="s">
        <v>453</v>
      </c>
      <c r="K140" s="164">
        <v>85.4</v>
      </c>
    </row>
    <row r="141" spans="1:12" x14ac:dyDescent="0.2">
      <c r="A141" s="163" t="str">
        <f>IF(Tableau14[[#This Row],[Nom produit]]=Tableau14[[#This Row],[Variété]],Tableau14[[#This Row],[Nom produit]],_xlfn.CONCAT(Tableau14[[#This Row],[Nom produit]]," - ", Tableau14[[#This Row],[Variété]]))</f>
        <v>La Cerise sur le Funday - Sage N Sour</v>
      </c>
      <c r="B141" s="163" t="s">
        <v>471</v>
      </c>
      <c r="C141" s="163">
        <v>666592000097</v>
      </c>
      <c r="D141" s="163" t="s">
        <v>272</v>
      </c>
      <c r="E141" s="163" t="s">
        <v>137</v>
      </c>
      <c r="F141" s="163" t="s">
        <v>87</v>
      </c>
      <c r="G141" s="163" t="s">
        <v>472</v>
      </c>
      <c r="H141" s="163" t="s">
        <v>417</v>
      </c>
      <c r="I141" s="163" t="s">
        <v>284</v>
      </c>
      <c r="J141" s="163" t="s">
        <v>448</v>
      </c>
      <c r="K141" s="164">
        <v>119.5</v>
      </c>
    </row>
    <row r="142" spans="1:12" ht="13.5" thickBot="1" x14ac:dyDescent="0.25">
      <c r="A142" s="163" t="str">
        <f>IF(Tableau14[[#This Row],[Nom produit]]=Tableau14[[#This Row],[Variété]],Tableau14[[#This Row],[Nom produit]],_xlfn.CONCAT(Tableau14[[#This Row],[Nom produit]]," - ", Tableau14[[#This Row],[Variété]]))</f>
        <v>Lemon Haze</v>
      </c>
      <c r="B142" s="271" t="s">
        <v>473</v>
      </c>
      <c r="C142" s="271" t="s">
        <v>474</v>
      </c>
      <c r="D142" s="163" t="s">
        <v>87</v>
      </c>
      <c r="E142" s="163" t="s">
        <v>137</v>
      </c>
      <c r="F142" s="163" t="s">
        <v>87</v>
      </c>
      <c r="G142" s="163" t="s">
        <v>473</v>
      </c>
      <c r="H142" s="271" t="s">
        <v>458</v>
      </c>
      <c r="I142" s="163" t="s">
        <v>278</v>
      </c>
      <c r="J142" s="163" t="s">
        <v>453</v>
      </c>
      <c r="K142" s="164">
        <v>89.2</v>
      </c>
    </row>
    <row r="143" spans="1:12" ht="15" x14ac:dyDescent="0.25">
      <c r="A143" s="163" t="str">
        <f>IF(Tableau14[[#This Row],[Nom produit]]=Tableau14[[#This Row],[Variété]],Tableau14[[#This Row],[Nom produit]],_xlfn.CONCAT(Tableau14[[#This Row],[Nom produit]]," - ", Tableau14[[#This Row],[Variété]]))</f>
        <v>Lemon Linx Grind - Lemon Linx</v>
      </c>
      <c r="B143" t="s">
        <v>460</v>
      </c>
      <c r="C143" s="246"/>
      <c r="D143" t="s">
        <v>272</v>
      </c>
      <c r="E143" s="163" t="s">
        <v>137</v>
      </c>
      <c r="F143" s="163" t="s">
        <v>87</v>
      </c>
      <c r="G143" t="s">
        <v>461</v>
      </c>
      <c r="H143" t="s">
        <v>237</v>
      </c>
      <c r="I143" t="s">
        <v>278</v>
      </c>
      <c r="J143" s="163" t="s">
        <v>262</v>
      </c>
      <c r="K143" s="474">
        <v>70.099999999999994</v>
      </c>
    </row>
    <row r="144" spans="1:12" ht="15" x14ac:dyDescent="0.25">
      <c r="A144" s="163" t="str">
        <f>IF(Tableau14[[#This Row],[Nom produit]]=Tableau14[[#This Row],[Variété]],Tableau14[[#This Row],[Nom produit]],_xlfn.CONCAT(Tableau14[[#This Row],[Nom produit]]," - ", Tableau14[[#This Row],[Variété]]))</f>
        <v>Lemon Meringue Pie</v>
      </c>
      <c r="B144" t="s">
        <v>459</v>
      </c>
      <c r="C144" s="246"/>
      <c r="D144" t="s">
        <v>87</v>
      </c>
      <c r="E144" s="163" t="s">
        <v>137</v>
      </c>
      <c r="F144" s="163" t="s">
        <v>87</v>
      </c>
      <c r="G144" t="s">
        <v>459</v>
      </c>
      <c r="H144" t="s">
        <v>271</v>
      </c>
      <c r="I144" t="s">
        <v>278</v>
      </c>
      <c r="J144" s="163" t="s">
        <v>262</v>
      </c>
      <c r="K144" s="474">
        <v>84.9</v>
      </c>
    </row>
    <row r="145" spans="1:12" ht="15" x14ac:dyDescent="0.25">
      <c r="A145" s="163" t="str">
        <f>IF(Tableau14[[#This Row],[Nom produit]]=Tableau14[[#This Row],[Variété]],Tableau14[[#This Row],[Nom produit]],_xlfn.CONCAT(Tableau14[[#This Row],[Nom produit]]," - ", Tableau14[[#This Row],[Variété]]))</f>
        <v>Medellin Sativa - Medellin</v>
      </c>
      <c r="B145" t="s">
        <v>475</v>
      </c>
      <c r="C145">
        <v>628188003653</v>
      </c>
      <c r="D145" t="s">
        <v>87</v>
      </c>
      <c r="E145" t="s">
        <v>137</v>
      </c>
      <c r="F145" t="s">
        <v>87</v>
      </c>
      <c r="G145" t="s">
        <v>476</v>
      </c>
      <c r="H145" t="s">
        <v>477</v>
      </c>
      <c r="I145" t="s">
        <v>269</v>
      </c>
      <c r="J145" t="s">
        <v>448</v>
      </c>
      <c r="K145">
        <v>125</v>
      </c>
    </row>
    <row r="146" spans="1:12" x14ac:dyDescent="0.2">
      <c r="A146" s="163" t="str">
        <f>Tableau14[[#This Row],[Nom produit]]</f>
        <v>Méga-Fleur Snow Leopard (10g)</v>
      </c>
      <c r="B146" s="163" t="s">
        <v>478</v>
      </c>
      <c r="C146" s="163" t="s">
        <v>479</v>
      </c>
      <c r="D146" s="163" t="s">
        <v>272</v>
      </c>
      <c r="E146" s="163" t="s">
        <v>137</v>
      </c>
      <c r="F146" s="163" t="s">
        <v>87</v>
      </c>
      <c r="G146" s="163" t="s">
        <v>467</v>
      </c>
      <c r="H146" s="163" t="s">
        <v>468</v>
      </c>
      <c r="I146" s="163" t="s">
        <v>480</v>
      </c>
      <c r="J146" s="163" t="s">
        <v>481</v>
      </c>
      <c r="K146" s="164">
        <v>63.1</v>
      </c>
    </row>
    <row r="147" spans="1:12" x14ac:dyDescent="0.2">
      <c r="A147" s="163" t="str">
        <f>IF(Tableau14[[#This Row],[Nom produit]]=Tableau14[[#This Row],[Variété]],Tableau14[[#This Row],[Nom produit]],_xlfn.CONCAT(Tableau14[[#This Row],[Nom produit]]," - ", Tableau14[[#This Row],[Variété]]))</f>
        <v>Painted Lady</v>
      </c>
      <c r="B147" s="443" t="s">
        <v>141</v>
      </c>
      <c r="C147" s="335">
        <v>838729000083</v>
      </c>
      <c r="D147" s="163" t="s">
        <v>272</v>
      </c>
      <c r="E147" s="163" t="s">
        <v>137</v>
      </c>
      <c r="F147" s="163" t="s">
        <v>87</v>
      </c>
      <c r="G147" s="163" t="s">
        <v>141</v>
      </c>
      <c r="H147" s="443" t="s">
        <v>469</v>
      </c>
      <c r="I147" s="163" t="s">
        <v>261</v>
      </c>
      <c r="J147" s="163" t="s">
        <v>453</v>
      </c>
      <c r="K147" s="164">
        <v>83.3</v>
      </c>
    </row>
    <row r="148" spans="1:12" x14ac:dyDescent="0.2">
      <c r="A148" s="163" t="str">
        <f>IF(Tableau14[[#This Row],[Nom produit]]=Tableau14[[#This Row],[Variété]],Tableau14[[#This Row],[Nom produit]],_xlfn.CONCAT(Tableau14[[#This Row],[Nom produit]]," - ", Tableau14[[#This Row],[Variété]]))</f>
        <v>Prêt à Rouler Moulu Sativa - Mélange</v>
      </c>
      <c r="B148" s="163" t="s">
        <v>482</v>
      </c>
      <c r="C148" s="163" t="s">
        <v>483</v>
      </c>
      <c r="D148" s="163" t="s">
        <v>87</v>
      </c>
      <c r="E148" s="163" t="s">
        <v>137</v>
      </c>
      <c r="F148" s="163" t="s">
        <v>87</v>
      </c>
      <c r="G148" s="163" t="s">
        <v>358</v>
      </c>
      <c r="H148" s="163" t="s">
        <v>484</v>
      </c>
      <c r="I148" s="163" t="s">
        <v>87</v>
      </c>
      <c r="J148" s="163" t="s">
        <v>453</v>
      </c>
      <c r="K148" s="164">
        <v>51.4</v>
      </c>
    </row>
    <row r="149" spans="1:12" ht="20.100000000000001" customHeight="1" x14ac:dyDescent="0.2">
      <c r="A149" s="163" t="str">
        <f>IF(Tableau14[[#This Row],[Nom produit]]=Tableau14[[#This Row],[Variété]],Tableau14[[#This Row],[Nom produit]],_xlfn.CONCAT(Tableau14[[#This Row],[Nom produit]]," - ", Tableau14[[#This Row],[Variété]]))</f>
        <v>Tangerine Dream</v>
      </c>
      <c r="B149" s="163" t="s">
        <v>485</v>
      </c>
      <c r="C149" s="163" t="s">
        <v>486</v>
      </c>
      <c r="D149" s="163" t="s">
        <v>87</v>
      </c>
      <c r="E149" s="163" t="s">
        <v>137</v>
      </c>
      <c r="F149" s="163" t="s">
        <v>87</v>
      </c>
      <c r="G149" s="163" t="s">
        <v>485</v>
      </c>
      <c r="H149" s="163" t="s">
        <v>464</v>
      </c>
      <c r="I149" s="163" t="s">
        <v>269</v>
      </c>
      <c r="J149" s="163" t="s">
        <v>453</v>
      </c>
      <c r="K149" s="164">
        <v>124.8</v>
      </c>
    </row>
    <row r="150" spans="1:12" x14ac:dyDescent="0.2">
      <c r="A150" s="163" t="str">
        <f>IF(Tableau14[[#This Row],[Nom produit]]=Tableau14[[#This Row],[Variété]],Tableau14[[#This Row],[Nom produit]],_xlfn.CONCAT(Tableau14[[#This Row],[Nom produit]]," - ", Tableau14[[#This Row],[Variété]]))</f>
        <v>Twd. Sativa - En rotation</v>
      </c>
      <c r="B150" s="163" t="s">
        <v>45</v>
      </c>
      <c r="C150" s="163" t="s">
        <v>487</v>
      </c>
      <c r="D150" s="163" t="s">
        <v>87</v>
      </c>
      <c r="E150" s="163" t="s">
        <v>137</v>
      </c>
      <c r="F150" s="163" t="s">
        <v>87</v>
      </c>
      <c r="G150" s="163" t="s">
        <v>264</v>
      </c>
      <c r="H150" s="163" t="s">
        <v>488</v>
      </c>
      <c r="I150" s="163" t="s">
        <v>87</v>
      </c>
      <c r="J150" s="163" t="s">
        <v>453</v>
      </c>
      <c r="K150" s="164">
        <v>90.9</v>
      </c>
    </row>
    <row r="151" spans="1:12" x14ac:dyDescent="0.2">
      <c r="K151" s="164"/>
    </row>
    <row r="152" spans="1:12" ht="14.25" x14ac:dyDescent="0.2">
      <c r="A152" s="643" t="s">
        <v>489</v>
      </c>
      <c r="B152" s="643"/>
      <c r="C152" s="643"/>
      <c r="D152" s="643"/>
      <c r="E152" s="643"/>
      <c r="F152" s="643"/>
      <c r="G152" s="643"/>
      <c r="H152" s="643"/>
      <c r="I152" s="643"/>
      <c r="J152" s="643"/>
      <c r="K152" s="643"/>
    </row>
    <row r="153" spans="1:12" x14ac:dyDescent="0.2">
      <c r="A153" s="240" t="s">
        <v>330</v>
      </c>
      <c r="B153" s="165" t="s">
        <v>250</v>
      </c>
      <c r="C153" s="165" t="s">
        <v>251</v>
      </c>
      <c r="D153" s="165" t="s">
        <v>252</v>
      </c>
      <c r="E153" s="165" t="s">
        <v>253</v>
      </c>
      <c r="F153" s="165" t="s">
        <v>254</v>
      </c>
      <c r="G153" s="165" t="s">
        <v>255</v>
      </c>
      <c r="H153" s="165" t="s">
        <v>4</v>
      </c>
      <c r="I153" s="165" t="s">
        <v>256</v>
      </c>
      <c r="J153" s="165" t="s">
        <v>5</v>
      </c>
      <c r="K153" s="165" t="s">
        <v>6</v>
      </c>
      <c r="L153" s="165" t="s">
        <v>257</v>
      </c>
    </row>
    <row r="154" spans="1:12" x14ac:dyDescent="0.2">
      <c r="A154" s="163" t="s">
        <v>87</v>
      </c>
      <c r="B154" s="163" t="s">
        <v>87</v>
      </c>
      <c r="C154" s="246" t="s">
        <v>87</v>
      </c>
      <c r="D154" s="163" t="s">
        <v>87</v>
      </c>
      <c r="E154" s="163" t="s">
        <v>87</v>
      </c>
      <c r="F154" s="163" t="s">
        <v>87</v>
      </c>
      <c r="G154" s="163" t="s">
        <v>87</v>
      </c>
      <c r="H154" s="163" t="s">
        <v>87</v>
      </c>
      <c r="I154" s="163" t="s">
        <v>87</v>
      </c>
      <c r="J154" s="163" t="s">
        <v>87</v>
      </c>
      <c r="K154" s="247" t="s">
        <v>87</v>
      </c>
    </row>
    <row r="155" spans="1:12" ht="15" x14ac:dyDescent="0.25">
      <c r="A155" s="163" t="str">
        <f>IF(Tableau15[[#This Row],[Nom produit]]=Tableau15[[#This Row],[Variété]],Tableau15[[#This Row],[Nom produit]],_xlfn.CONCAT(Tableau15[[#This Row],[Nom produit]]," - ", Tableau15[[#This Row],[Variété]]))</f>
        <v>*Bientôt Retiré | Cherry Blossom - Cherry Blossom</v>
      </c>
      <c r="B155" t="s">
        <v>490</v>
      </c>
      <c r="C155" s="319">
        <v>628634303085</v>
      </c>
      <c r="D155" t="s">
        <v>272</v>
      </c>
      <c r="E155" t="s">
        <v>135</v>
      </c>
      <c r="F155" t="s">
        <v>87</v>
      </c>
      <c r="G155" t="s">
        <v>491</v>
      </c>
      <c r="H155" t="s">
        <v>349</v>
      </c>
      <c r="I155" t="s">
        <v>269</v>
      </c>
      <c r="J155" t="s">
        <v>453</v>
      </c>
      <c r="K155" s="448">
        <v>77</v>
      </c>
      <c r="L155" s="163" t="s">
        <v>334</v>
      </c>
    </row>
    <row r="156" spans="1:12" ht="15" x14ac:dyDescent="0.25">
      <c r="A156" s="163" t="str">
        <f>IF(Tableau15[[#This Row],[Nom produit]]=Tableau15[[#This Row],[Variété]],Tableau15[[#This Row],[Nom produit]],_xlfn.CONCAT(Tableau15[[#This Row],[Nom produit]]," - ", Tableau15[[#This Row],[Variété]]))</f>
        <v>Biscotti</v>
      </c>
      <c r="B156" t="s">
        <v>492</v>
      </c>
      <c r="D156" t="s">
        <v>272</v>
      </c>
      <c r="E156" s="163" t="s">
        <v>135</v>
      </c>
      <c r="F156" s="163" t="s">
        <v>87</v>
      </c>
      <c r="G156" t="s">
        <v>492</v>
      </c>
      <c r="H156" t="s">
        <v>493</v>
      </c>
      <c r="I156" t="s">
        <v>494</v>
      </c>
      <c r="J156" t="s">
        <v>453</v>
      </c>
      <c r="K156" s="474">
        <v>110</v>
      </c>
    </row>
    <row r="157" spans="1:12" x14ac:dyDescent="0.2">
      <c r="A157" s="163" t="str">
        <f>IF(Tableau15[[#This Row],[Nom produit]]=Tableau15[[#This Row],[Variété]],Tableau15[[#This Row],[Nom produit]],_xlfn.CONCAT(Tableau15[[#This Row],[Nom produit]]," - ", Tableau15[[#This Row],[Variété]]))</f>
        <v>Blueberry Muffins</v>
      </c>
      <c r="B157" s="163" t="s">
        <v>495</v>
      </c>
      <c r="C157" s="428">
        <v>870857000986</v>
      </c>
      <c r="D157" s="163" t="s">
        <v>272</v>
      </c>
      <c r="E157" s="163" t="s">
        <v>135</v>
      </c>
      <c r="F157" s="163" t="s">
        <v>87</v>
      </c>
      <c r="G157" s="163" t="s">
        <v>495</v>
      </c>
      <c r="H157" s="163" t="s">
        <v>493</v>
      </c>
      <c r="I157" s="163" t="s">
        <v>284</v>
      </c>
      <c r="J157" s="163" t="s">
        <v>453</v>
      </c>
      <c r="K157" s="164">
        <v>72.7</v>
      </c>
    </row>
    <row r="158" spans="1:12" x14ac:dyDescent="0.2">
      <c r="A158" s="163" t="str">
        <f>IF(Tableau15[[#This Row],[Nom produit]]=Tableau15[[#This Row],[Variété]],Tableau15[[#This Row],[Nom produit]],_xlfn.CONCAT(Tableau15[[#This Row],[Nom produit]]," - ", Tableau15[[#This Row],[Variété]]))</f>
        <v>Cherry Blossom</v>
      </c>
      <c r="B158" s="163" t="s">
        <v>491</v>
      </c>
      <c r="C158" s="163" t="s">
        <v>496</v>
      </c>
      <c r="D158" s="163" t="s">
        <v>272</v>
      </c>
      <c r="E158" s="163" t="s">
        <v>135</v>
      </c>
      <c r="F158" s="163" t="s">
        <v>87</v>
      </c>
      <c r="G158" s="163" t="s">
        <v>491</v>
      </c>
      <c r="H158" s="163" t="s">
        <v>349</v>
      </c>
      <c r="I158" s="163" t="s">
        <v>269</v>
      </c>
      <c r="J158" s="163" t="s">
        <v>453</v>
      </c>
      <c r="K158" s="164">
        <v>85.5</v>
      </c>
    </row>
    <row r="159" spans="1:12" ht="15" x14ac:dyDescent="0.25">
      <c r="A159" s="163" t="str">
        <f>IF(Tableau15[[#This Row],[Nom produit]]=Tableau15[[#This Row],[Variété]],Tableau15[[#This Row],[Nom produit]],_xlfn.CONCAT(Tableau15[[#This Row],[Nom produit]]," - ", Tableau15[[#This Row],[Variété]]))</f>
        <v>Daily Special Indica - Mélange</v>
      </c>
      <c r="B159" s="163" t="s">
        <v>497</v>
      </c>
      <c r="C159" s="163" t="s">
        <v>498</v>
      </c>
      <c r="D159" s="163" t="s">
        <v>87</v>
      </c>
      <c r="E159" s="163" t="s">
        <v>135</v>
      </c>
      <c r="F159" s="163" t="s">
        <v>87</v>
      </c>
      <c r="G159" s="163" t="s">
        <v>358</v>
      </c>
      <c r="H159" s="163" t="s">
        <v>458</v>
      </c>
      <c r="I159" s="163" t="s">
        <v>87</v>
      </c>
      <c r="J159" t="s">
        <v>453</v>
      </c>
      <c r="K159" s="164">
        <v>87</v>
      </c>
    </row>
    <row r="160" spans="1:12" ht="15" x14ac:dyDescent="0.25">
      <c r="A160" s="163" t="str">
        <f>IF(Tableau15[[#This Row],[Nom produit]]=Tableau15[[#This Row],[Variété]],Tableau15[[#This Row],[Nom produit]],_xlfn.CONCAT(Tableau15[[#This Row],[Nom produit]]," - ", Tableau15[[#This Row],[Variété]]))</f>
        <v>Durban Gorilla Bio - Durban Gorilla</v>
      </c>
      <c r="B160" t="s">
        <v>499</v>
      </c>
      <c r="D160" t="s">
        <v>87</v>
      </c>
      <c r="E160" s="163" t="s">
        <v>135</v>
      </c>
      <c r="F160" s="163" t="s">
        <v>87</v>
      </c>
      <c r="G160" t="s">
        <v>500</v>
      </c>
      <c r="H160" t="s">
        <v>265</v>
      </c>
      <c r="I160" t="s">
        <v>299</v>
      </c>
      <c r="J160" t="s">
        <v>453</v>
      </c>
      <c r="K160" s="474">
        <v>85</v>
      </c>
    </row>
    <row r="161" spans="1:11" ht="15" x14ac:dyDescent="0.25">
      <c r="A161" s="163" t="str">
        <f>IF(Tableau15[[#This Row],[Nom produit]]=Tableau15[[#This Row],[Variété]],Tableau15[[#This Row],[Nom produit]],_xlfn.CONCAT(Tableau15[[#This Row],[Nom produit]]," - ", Tableau15[[#This Row],[Variété]]))</f>
        <v>Frosted Cookies</v>
      </c>
      <c r="B161" t="s">
        <v>501</v>
      </c>
      <c r="D161" t="s">
        <v>272</v>
      </c>
      <c r="E161" s="163" t="s">
        <v>135</v>
      </c>
      <c r="F161" s="163" t="s">
        <v>87</v>
      </c>
      <c r="G161" t="s">
        <v>501</v>
      </c>
      <c r="H161" t="s">
        <v>493</v>
      </c>
      <c r="I161" t="s">
        <v>269</v>
      </c>
      <c r="J161" s="163" t="s">
        <v>453</v>
      </c>
      <c r="K161" s="474">
        <v>110</v>
      </c>
    </row>
    <row r="162" spans="1:11" ht="15" x14ac:dyDescent="0.25">
      <c r="A162" s="163" t="str">
        <f>IF(Tableau15[[#This Row],[Nom produit]]=Tableau15[[#This Row],[Variété]],Tableau15[[#This Row],[Nom produit]],_xlfn.CONCAT(Tableau15[[#This Row],[Nom produit]]," - ", Tableau15[[#This Row],[Variété]]))</f>
        <v>Galactic Burger Grind - Galactic Burger</v>
      </c>
      <c r="B162" t="s">
        <v>502</v>
      </c>
      <c r="D162" t="s">
        <v>272</v>
      </c>
      <c r="E162" s="163" t="s">
        <v>135</v>
      </c>
      <c r="F162" s="163" t="s">
        <v>87</v>
      </c>
      <c r="G162" t="s">
        <v>503</v>
      </c>
      <c r="H162" t="s">
        <v>237</v>
      </c>
      <c r="I162" t="s">
        <v>261</v>
      </c>
      <c r="J162" s="163" t="s">
        <v>453</v>
      </c>
      <c r="K162" s="474">
        <v>70.099999999999994</v>
      </c>
    </row>
    <row r="163" spans="1:11" x14ac:dyDescent="0.2">
      <c r="A163" s="163" t="str">
        <f>IF(Tableau15[[#This Row],[Nom produit]]=Tableau15[[#This Row],[Variété]],Tableau15[[#This Row],[Nom produit]],_xlfn.CONCAT(Tableau15[[#This Row],[Nom produit]]," - ", Tableau15[[#This Row],[Variété]]))</f>
        <v>Gasberry Pie</v>
      </c>
      <c r="B163" s="163" t="s">
        <v>504</v>
      </c>
      <c r="C163" s="163" t="s">
        <v>505</v>
      </c>
      <c r="D163" s="163" t="s">
        <v>87</v>
      </c>
      <c r="E163" s="163" t="s">
        <v>135</v>
      </c>
      <c r="F163" s="163" t="s">
        <v>87</v>
      </c>
      <c r="G163" s="163" t="s">
        <v>504</v>
      </c>
      <c r="H163" s="163" t="s">
        <v>458</v>
      </c>
      <c r="I163" s="163" t="s">
        <v>261</v>
      </c>
      <c r="J163" s="163" t="s">
        <v>453</v>
      </c>
      <c r="K163" s="164">
        <v>89.2</v>
      </c>
    </row>
    <row r="164" spans="1:11" ht="15" x14ac:dyDescent="0.25">
      <c r="A164" s="163" t="str">
        <f>IF(Tableau15[[#This Row],[Nom produit]]=Tableau15[[#This Row],[Variété]],Tableau15[[#This Row],[Nom produit]],_xlfn.CONCAT(Tableau15[[#This Row],[Nom produit]]," - ", Tableau15[[#This Row],[Variété]]))</f>
        <v>Gasberry Pie</v>
      </c>
      <c r="B164" s="270" t="s">
        <v>504</v>
      </c>
      <c r="C164" s="272">
        <v>629108299149</v>
      </c>
      <c r="D164" s="272" t="s">
        <v>87</v>
      </c>
      <c r="E164" s="270" t="s">
        <v>135</v>
      </c>
      <c r="F164" s="270" t="s">
        <v>87</v>
      </c>
      <c r="G164" s="270" t="s">
        <v>504</v>
      </c>
      <c r="H164" s="270" t="s">
        <v>458</v>
      </c>
      <c r="I164" s="273" t="s">
        <v>261</v>
      </c>
      <c r="J164" t="s">
        <v>453</v>
      </c>
      <c r="K164" s="273">
        <v>89.2</v>
      </c>
    </row>
    <row r="165" spans="1:11" ht="15" x14ac:dyDescent="0.25">
      <c r="A165" s="163" t="str">
        <f>IF(Tableau15[[#This Row],[Nom produit]]=Tableau15[[#This Row],[Variété]],Tableau15[[#This Row],[Nom produit]],_xlfn.CONCAT(Tableau15[[#This Row],[Nom produit]]," - ", Tableau15[[#This Row],[Variété]]))</f>
        <v>Grand Daddy Purps</v>
      </c>
      <c r="B165" t="s">
        <v>506</v>
      </c>
      <c r="D165" t="s">
        <v>87</v>
      </c>
      <c r="E165" s="163" t="s">
        <v>135</v>
      </c>
      <c r="F165" s="163" t="s">
        <v>87</v>
      </c>
      <c r="G165" t="s">
        <v>506</v>
      </c>
      <c r="H165" t="s">
        <v>220</v>
      </c>
      <c r="I165" t="s">
        <v>284</v>
      </c>
      <c r="J165" s="163" t="s">
        <v>453</v>
      </c>
      <c r="K165" s="474">
        <v>90.5</v>
      </c>
    </row>
    <row r="166" spans="1:11" ht="15" x14ac:dyDescent="0.25">
      <c r="A166" s="163" t="str">
        <f>IF(Tableau15[[#This Row],[Nom produit]]=Tableau15[[#This Row],[Variété]],Tableau15[[#This Row],[Nom produit]],_xlfn.CONCAT(Tableau15[[#This Row],[Nom produit]]," - ", Tableau15[[#This Row],[Variété]]))</f>
        <v>H27 Indica - En rotation</v>
      </c>
      <c r="B166" t="s">
        <v>507</v>
      </c>
      <c r="D166" t="s">
        <v>272</v>
      </c>
      <c r="E166" s="163" t="s">
        <v>135</v>
      </c>
      <c r="F166" s="163" t="s">
        <v>87</v>
      </c>
      <c r="G166" t="s">
        <v>264</v>
      </c>
      <c r="H166" t="s">
        <v>508</v>
      </c>
      <c r="I166" t="s">
        <v>87</v>
      </c>
      <c r="J166" t="s">
        <v>453</v>
      </c>
      <c r="K166" s="474">
        <v>70.900000000000006</v>
      </c>
    </row>
    <row r="167" spans="1:11" x14ac:dyDescent="0.2">
      <c r="A167" s="163" t="str">
        <f>IF(Tableau15[[#This Row],[Nom produit]]=Tableau15[[#This Row],[Variété]],Tableau15[[#This Row],[Nom produit]],_xlfn.CONCAT(Tableau15[[#This Row],[Nom produit]]," - ", Tableau15[[#This Row],[Variété]]))</f>
        <v>Joints Non Roulés + 15 Cônes (Moulu) - Mélange</v>
      </c>
      <c r="B167" s="163" t="s">
        <v>509</v>
      </c>
      <c r="C167" s="163">
        <v>688083015502</v>
      </c>
      <c r="D167" s="163" t="s">
        <v>87</v>
      </c>
      <c r="E167" s="163" t="s">
        <v>135</v>
      </c>
      <c r="F167" s="163" t="s">
        <v>87</v>
      </c>
      <c r="G167" s="163" t="s">
        <v>358</v>
      </c>
      <c r="H167" s="163" t="s">
        <v>328</v>
      </c>
      <c r="I167" s="163" t="s">
        <v>269</v>
      </c>
      <c r="J167" s="163" t="s">
        <v>453</v>
      </c>
      <c r="K167" s="164">
        <v>64.099999999999994</v>
      </c>
    </row>
    <row r="168" spans="1:11" ht="15" x14ac:dyDescent="0.25">
      <c r="A168" s="163" t="str">
        <f>IF(Tableau15[[#This Row],[Nom produit]]=Tableau15[[#This Row],[Variété]],Tableau15[[#This Row],[Nom produit]],_xlfn.CONCAT(Tableau15[[#This Row],[Nom produit]]," - ", Tableau15[[#This Row],[Variété]]))</f>
        <v>Lagune - Northern Berry</v>
      </c>
      <c r="B168" s="163" t="s">
        <v>510</v>
      </c>
      <c r="C168" s="163" t="s">
        <v>511</v>
      </c>
      <c r="D168" s="163" t="s">
        <v>272</v>
      </c>
      <c r="E168" s="163" t="s">
        <v>135</v>
      </c>
      <c r="F168" s="163" t="s">
        <v>87</v>
      </c>
      <c r="G168" s="163" t="s">
        <v>512</v>
      </c>
      <c r="H168" s="163" t="s">
        <v>468</v>
      </c>
      <c r="I168" s="163" t="s">
        <v>284</v>
      </c>
      <c r="J168" t="s">
        <v>453</v>
      </c>
      <c r="K168" s="164">
        <v>91.7</v>
      </c>
    </row>
    <row r="169" spans="1:11" x14ac:dyDescent="0.2">
      <c r="A169" s="163" t="str">
        <f>IF(Tableau15[[#This Row],[Nom produit]]=Tableau15[[#This Row],[Variété]],Tableau15[[#This Row],[Nom produit]],_xlfn.CONCAT(Tableau15[[#This Row],[Nom produit]]," - ", Tableau15[[#This Row],[Variété]]))</f>
        <v>MK Ultra</v>
      </c>
      <c r="B169" s="163" t="s">
        <v>513</v>
      </c>
      <c r="C169" s="163" t="s">
        <v>514</v>
      </c>
      <c r="D169" s="163" t="s">
        <v>87</v>
      </c>
      <c r="E169" s="163" t="s">
        <v>135</v>
      </c>
      <c r="F169" s="163" t="s">
        <v>87</v>
      </c>
      <c r="G169" s="163" t="s">
        <v>513</v>
      </c>
      <c r="H169" s="163" t="s">
        <v>458</v>
      </c>
      <c r="I169" s="163" t="s">
        <v>269</v>
      </c>
      <c r="J169" s="163" t="s">
        <v>453</v>
      </c>
      <c r="K169" s="164">
        <v>89.2</v>
      </c>
    </row>
    <row r="170" spans="1:11" ht="15" x14ac:dyDescent="0.25">
      <c r="A170" s="163" t="str">
        <f>IF(Tableau15[[#This Row],[Nom produit]]=Tableau15[[#This Row],[Variété]],Tableau15[[#This Row],[Nom produit]],_xlfn.CONCAT(Tableau15[[#This Row],[Nom produit]]," - ", Tableau15[[#This Row],[Variété]]))</f>
        <v>Pink Kush</v>
      </c>
      <c r="B170" s="163" t="s">
        <v>515</v>
      </c>
      <c r="C170" s="163" t="s">
        <v>516</v>
      </c>
      <c r="D170" s="163" t="s">
        <v>87</v>
      </c>
      <c r="E170" s="163" t="s">
        <v>135</v>
      </c>
      <c r="F170" s="163" t="s">
        <v>87</v>
      </c>
      <c r="G170" s="163" t="s">
        <v>515</v>
      </c>
      <c r="H170" s="163" t="s">
        <v>464</v>
      </c>
      <c r="I170" s="163" t="s">
        <v>269</v>
      </c>
      <c r="J170" t="s">
        <v>453</v>
      </c>
      <c r="K170" s="164">
        <v>133.30000000000001</v>
      </c>
    </row>
    <row r="171" spans="1:11" ht="13.5" thickBot="1" x14ac:dyDescent="0.25">
      <c r="A171" s="163" t="str">
        <f>IF(Tableau15[[#This Row],[Nom produit]]=Tableau15[[#This Row],[Variété]],Tableau15[[#This Row],[Nom produit]],_xlfn.CONCAT(Tableau15[[#This Row],[Nom produit]]," - ", Tableau15[[#This Row],[Variété]]))</f>
        <v>Prêt à Rouler Moulu Indica - Mélange</v>
      </c>
      <c r="B171" s="271" t="s">
        <v>517</v>
      </c>
      <c r="C171" s="271" t="s">
        <v>518</v>
      </c>
      <c r="D171" s="271" t="s">
        <v>87</v>
      </c>
      <c r="E171" s="271" t="s">
        <v>135</v>
      </c>
      <c r="F171" s="271" t="s">
        <v>87</v>
      </c>
      <c r="G171" s="271" t="s">
        <v>358</v>
      </c>
      <c r="H171" s="271" t="s">
        <v>484</v>
      </c>
      <c r="I171" s="271" t="s">
        <v>87</v>
      </c>
      <c r="J171" s="163" t="s">
        <v>453</v>
      </c>
      <c r="K171" s="274">
        <v>51.4</v>
      </c>
    </row>
    <row r="172" spans="1:11" ht="15" x14ac:dyDescent="0.25">
      <c r="A172" s="163" t="str">
        <f>IF(Tableau15[[#This Row],[Nom produit]]=Tableau15[[#This Row],[Variété]],Tableau15[[#This Row],[Nom produit]],_xlfn.CONCAT(Tableau15[[#This Row],[Nom produit]]," - ", Tableau15[[#This Row],[Variété]]))</f>
        <v>Trois Fromages (Moulu) - Mélange</v>
      </c>
      <c r="B172" s="163" t="s">
        <v>519</v>
      </c>
      <c r="C172" s="163">
        <v>824165001579</v>
      </c>
      <c r="D172" s="163" t="s">
        <v>87</v>
      </c>
      <c r="E172" s="163" t="s">
        <v>135</v>
      </c>
      <c r="F172" s="163" t="s">
        <v>87</v>
      </c>
      <c r="G172" s="163" t="s">
        <v>358</v>
      </c>
      <c r="H172" s="163" t="s">
        <v>520</v>
      </c>
      <c r="I172" s="163" t="s">
        <v>284</v>
      </c>
      <c r="J172" t="s">
        <v>453</v>
      </c>
      <c r="K172" s="164">
        <v>70.099999999999994</v>
      </c>
    </row>
    <row r="173" spans="1:11" x14ac:dyDescent="0.2">
      <c r="A173" s="163" t="str">
        <f>IF(Tableau15[[#This Row],[Nom produit]]=Tableau15[[#This Row],[Variété]],Tableau15[[#This Row],[Nom produit]],_xlfn.CONCAT(Tableau15[[#This Row],[Nom produit]]," - ", Tableau15[[#This Row],[Variété]]))</f>
        <v>Twd. Indica - En rotation</v>
      </c>
      <c r="B173" s="163" t="s">
        <v>42</v>
      </c>
      <c r="C173" s="163" t="s">
        <v>521</v>
      </c>
      <c r="D173" s="163" t="s">
        <v>87</v>
      </c>
      <c r="E173" s="163" t="s">
        <v>135</v>
      </c>
      <c r="F173" s="163" t="s">
        <v>87</v>
      </c>
      <c r="G173" s="163" t="s">
        <v>264</v>
      </c>
      <c r="H173" s="163" t="s">
        <v>488</v>
      </c>
      <c r="I173" s="163" t="s">
        <v>269</v>
      </c>
      <c r="J173" s="163" t="s">
        <v>453</v>
      </c>
      <c r="K173" s="164">
        <v>90.9</v>
      </c>
    </row>
    <row r="174" spans="1:11" ht="20.100000000000001" customHeight="1" x14ac:dyDescent="0.25">
      <c r="A174" s="163" t="str">
        <f>IF(Tableau15[[#This Row],[Nom produit]]=Tableau15[[#This Row],[Variété]],Tableau15[[#This Row],[Nom produit]],_xlfn.CONCAT(Tableau15[[#This Row],[Nom produit]]," - ", Tableau15[[#This Row],[Variété]]))</f>
        <v>Wappa</v>
      </c>
      <c r="B174" s="163" t="s">
        <v>522</v>
      </c>
      <c r="C174" s="163" t="s">
        <v>523</v>
      </c>
      <c r="D174" s="163" t="s">
        <v>87</v>
      </c>
      <c r="E174" s="163" t="s">
        <v>135</v>
      </c>
      <c r="F174" s="163" t="s">
        <v>87</v>
      </c>
      <c r="G174" s="163" t="s">
        <v>522</v>
      </c>
      <c r="H174" s="163" t="s">
        <v>524</v>
      </c>
      <c r="I174" s="163" t="s">
        <v>269</v>
      </c>
      <c r="J174" t="s">
        <v>453</v>
      </c>
      <c r="K174" s="164">
        <v>77</v>
      </c>
    </row>
    <row r="175" spans="1:11" ht="15" x14ac:dyDescent="0.25">
      <c r="A175" s="163" t="str">
        <f>IF(Tableau15[[#This Row],[Nom produit]]=Tableau15[[#This Row],[Variété]],Tableau15[[#This Row],[Nom produit]],_xlfn.CONCAT(Tableau15[[#This Row],[Nom produit]]," - ", Tableau15[[#This Row],[Variété]]))</f>
        <v>White Mac</v>
      </c>
      <c r="B175" t="s">
        <v>525</v>
      </c>
      <c r="D175" t="s">
        <v>87</v>
      </c>
      <c r="E175" s="163" t="s">
        <v>135</v>
      </c>
      <c r="F175" s="163" t="s">
        <v>87</v>
      </c>
      <c r="G175" t="s">
        <v>525</v>
      </c>
      <c r="H175" t="s">
        <v>464</v>
      </c>
      <c r="I175" t="s">
        <v>284</v>
      </c>
      <c r="J175" t="s">
        <v>453</v>
      </c>
      <c r="K175" s="474">
        <v>133.30000000000001</v>
      </c>
    </row>
    <row r="176" spans="1:11" x14ac:dyDescent="0.2">
      <c r="K176" s="164"/>
    </row>
    <row r="177" spans="1:12" ht="14.25" x14ac:dyDescent="0.2">
      <c r="A177" s="644" t="s">
        <v>526</v>
      </c>
      <c r="B177" s="644"/>
      <c r="C177" s="644"/>
      <c r="D177" s="644"/>
      <c r="E177" s="644"/>
      <c r="F177" s="644"/>
      <c r="G177" s="644"/>
      <c r="H177" s="644"/>
      <c r="I177" s="644"/>
      <c r="J177" s="644"/>
      <c r="K177" s="644"/>
    </row>
    <row r="178" spans="1:12" x14ac:dyDescent="0.2">
      <c r="A178" s="165" t="s">
        <v>330</v>
      </c>
      <c r="B178" s="165" t="s">
        <v>250</v>
      </c>
      <c r="C178" s="165" t="s">
        <v>251</v>
      </c>
      <c r="D178" s="165" t="s">
        <v>252</v>
      </c>
      <c r="E178" s="165" t="s">
        <v>253</v>
      </c>
      <c r="F178" s="165" t="s">
        <v>254</v>
      </c>
      <c r="G178" s="165" t="s">
        <v>255</v>
      </c>
      <c r="H178" s="165" t="s">
        <v>4</v>
      </c>
      <c r="I178" s="165" t="s">
        <v>256</v>
      </c>
      <c r="J178" s="165" t="s">
        <v>5</v>
      </c>
      <c r="K178" s="165" t="s">
        <v>6</v>
      </c>
      <c r="L178" s="165" t="s">
        <v>257</v>
      </c>
    </row>
    <row r="179" spans="1:12" x14ac:dyDescent="0.2">
      <c r="A179" s="281" t="s">
        <v>87</v>
      </c>
      <c r="B179" s="281" t="s">
        <v>87</v>
      </c>
      <c r="C179" s="280" t="s">
        <v>87</v>
      </c>
      <c r="D179" s="281" t="s">
        <v>87</v>
      </c>
      <c r="E179" s="281" t="s">
        <v>87</v>
      </c>
      <c r="F179" s="281" t="s">
        <v>87</v>
      </c>
      <c r="G179" s="281" t="s">
        <v>87</v>
      </c>
      <c r="H179" s="281" t="s">
        <v>87</v>
      </c>
      <c r="I179" s="281" t="s">
        <v>87</v>
      </c>
      <c r="J179" s="281" t="s">
        <v>87</v>
      </c>
      <c r="K179" s="290" t="s">
        <v>87</v>
      </c>
      <c r="L179" s="281"/>
    </row>
    <row r="180" spans="1:12" ht="15" x14ac:dyDescent="0.25">
      <c r="A180" s="281" t="str">
        <f>IF(Tableau16[[#This Row],[Nom produit]]=Tableau16[[#This Row],[Variété]],Tableau16[[#This Row],[Nom produit]],_xlfn.CONCAT(Tableau16[[#This Row],[Nom produit]]," - ", Tableau16[[#This Row],[Variété]]))</f>
        <v>*Bientôt Retiré | H10 (Moulu) - Mélange</v>
      </c>
      <c r="B180" t="s">
        <v>527</v>
      </c>
      <c r="C180" s="319">
        <v>628634303207</v>
      </c>
      <c r="D180" t="s">
        <v>272</v>
      </c>
      <c r="E180" t="s">
        <v>142</v>
      </c>
      <c r="F180" t="s">
        <v>87</v>
      </c>
      <c r="G180" t="s">
        <v>358</v>
      </c>
      <c r="H180" t="s">
        <v>528</v>
      </c>
      <c r="I180" t="s">
        <v>284</v>
      </c>
      <c r="J180" s="281" t="s">
        <v>453</v>
      </c>
      <c r="K180">
        <v>64.7</v>
      </c>
      <c r="L180" s="281" t="s">
        <v>334</v>
      </c>
    </row>
    <row r="181" spans="1:12" x14ac:dyDescent="0.2">
      <c r="A181" s="281" t="str">
        <f>IF(Tableau16[[#This Row],[Nom produit]]=Tableau16[[#This Row],[Variété]],Tableau16[[#This Row],[Nom produit]],_xlfn.CONCAT(Tableau16[[#This Row],[Nom produit]]," - ", Tableau16[[#This Row],[Variété]]))</f>
        <v xml:space="preserve">*Bientôt Retiré | London Pound Mints - </v>
      </c>
      <c r="B181" s="443" t="s">
        <v>529</v>
      </c>
      <c r="C181" s="335">
        <v>628069580266</v>
      </c>
      <c r="D181" s="281" t="s">
        <v>87</v>
      </c>
      <c r="E181" s="281" t="s">
        <v>142</v>
      </c>
      <c r="F181" s="281" t="s">
        <v>135</v>
      </c>
      <c r="G181" s="281"/>
      <c r="H181" s="443" t="s">
        <v>530</v>
      </c>
      <c r="I181" s="281" t="s">
        <v>261</v>
      </c>
      <c r="J181" s="281" t="s">
        <v>453</v>
      </c>
      <c r="K181" s="354">
        <v>92.9</v>
      </c>
      <c r="L181" s="281" t="s">
        <v>334</v>
      </c>
    </row>
    <row r="182" spans="1:12" ht="13.5" thickBot="1" x14ac:dyDescent="0.25">
      <c r="A182" s="281" t="str">
        <f>IF(Tableau16[[#This Row],[Nom produit]]=Tableau16[[#This Row],[Variété]],Tableau16[[#This Row],[Nom produit]],_xlfn.CONCAT(Tableau16[[#This Row],[Nom produit]]," - ", Tableau16[[#This Row],[Variété]]))</f>
        <v>Alien Gelato</v>
      </c>
      <c r="B182" s="431" t="s">
        <v>144</v>
      </c>
      <c r="C182" s="336">
        <v>820939004661</v>
      </c>
      <c r="D182" s="281" t="s">
        <v>87</v>
      </c>
      <c r="E182" s="281" t="s">
        <v>142</v>
      </c>
      <c r="F182" s="281" t="s">
        <v>135</v>
      </c>
      <c r="G182" s="281" t="s">
        <v>144</v>
      </c>
      <c r="H182" s="431" t="s">
        <v>243</v>
      </c>
      <c r="I182" s="281" t="s">
        <v>284</v>
      </c>
      <c r="J182" s="281" t="s">
        <v>453</v>
      </c>
      <c r="K182" s="432">
        <v>98.6</v>
      </c>
      <c r="L182" s="281"/>
    </row>
    <row r="183" spans="1:12" ht="13.5" thickBot="1" x14ac:dyDescent="0.25">
      <c r="A183" s="281" t="str">
        <f>IF(Tableau16[[#This Row],[Nom produit]]=Tableau16[[#This Row],[Variété]],Tableau16[[#This Row],[Nom produit]],_xlfn.CONCAT(Tableau16[[#This Row],[Nom produit]]," - ", Tableau16[[#This Row],[Variété]]))</f>
        <v>Artisans - En rotation</v>
      </c>
      <c r="B183" s="288" t="s">
        <v>391</v>
      </c>
      <c r="C183" s="288" t="s">
        <v>531</v>
      </c>
      <c r="D183" s="281" t="s">
        <v>272</v>
      </c>
      <c r="E183" s="281" t="s">
        <v>142</v>
      </c>
      <c r="F183" s="281" t="s">
        <v>87</v>
      </c>
      <c r="G183" s="281" t="s">
        <v>264</v>
      </c>
      <c r="H183" s="288" t="s">
        <v>392</v>
      </c>
      <c r="I183" s="281" t="s">
        <v>87</v>
      </c>
      <c r="J183" s="281" t="s">
        <v>453</v>
      </c>
      <c r="K183" s="304">
        <v>80.8</v>
      </c>
      <c r="L183" s="281"/>
    </row>
    <row r="184" spans="1:12" ht="13.5" thickBot="1" x14ac:dyDescent="0.25">
      <c r="A184" s="281" t="str">
        <f>IF(Tableau16[[#This Row],[Nom produit]]=Tableau16[[#This Row],[Variété]],Tableau16[[#This Row],[Nom produit]],_xlfn.CONCAT(Tableau16[[#This Row],[Nom produit]]," - ", Tableau16[[#This Row],[Variété]]))</f>
        <v>Artisans Plus - En rotation</v>
      </c>
      <c r="B184" s="288" t="s">
        <v>532</v>
      </c>
      <c r="C184" s="288" t="s">
        <v>533</v>
      </c>
      <c r="D184" s="281" t="s">
        <v>272</v>
      </c>
      <c r="E184" s="281" t="s">
        <v>142</v>
      </c>
      <c r="F184" s="281" t="s">
        <v>87</v>
      </c>
      <c r="G184" s="281" t="s">
        <v>264</v>
      </c>
      <c r="H184" s="288" t="s">
        <v>392</v>
      </c>
      <c r="I184" s="281" t="s">
        <v>87</v>
      </c>
      <c r="J184" s="281" t="s">
        <v>453</v>
      </c>
      <c r="K184" s="304">
        <v>95.9</v>
      </c>
      <c r="L184" s="281"/>
    </row>
    <row r="185" spans="1:12" ht="13.5" thickBot="1" x14ac:dyDescent="0.25">
      <c r="A185" s="281" t="str">
        <f>IF(Tableau16[[#This Row],[Nom produit]]=Tableau16[[#This Row],[Variété]],Tableau16[[#This Row],[Nom produit]],_xlfn.CONCAT(Tableau16[[#This Row],[Nom produit]]," - ", Tableau16[[#This Row],[Variété]]))</f>
        <v>CBD à la Lime (Moulu) - Mélange</v>
      </c>
      <c r="B185" s="337" t="s">
        <v>534</v>
      </c>
      <c r="C185" s="336">
        <v>628634303306</v>
      </c>
      <c r="D185" s="281" t="s">
        <v>272</v>
      </c>
      <c r="E185" s="281" t="s">
        <v>142</v>
      </c>
      <c r="F185" s="281" t="s">
        <v>135</v>
      </c>
      <c r="G185" s="281" t="s">
        <v>358</v>
      </c>
      <c r="H185" s="337" t="s">
        <v>349</v>
      </c>
      <c r="I185" s="281"/>
      <c r="J185" s="281" t="s">
        <v>453</v>
      </c>
      <c r="K185" s="358">
        <v>71.8</v>
      </c>
      <c r="L185" s="281"/>
    </row>
    <row r="186" spans="1:12" ht="13.5" thickBot="1" x14ac:dyDescent="0.25">
      <c r="A186" s="281" t="str">
        <f>IF(Tableau16[[#This Row],[Nom produit]]=Tableau16[[#This Row],[Variété]],Tableau16[[#This Row],[Nom produit]],_xlfn.CONCAT(Tableau16[[#This Row],[Nom produit]]," - ", Tableau16[[#This Row],[Variété]]))</f>
        <v>Citron XXX (Moulu) - Mélange</v>
      </c>
      <c r="B186" s="288" t="s">
        <v>538</v>
      </c>
      <c r="C186" s="288" t="s">
        <v>539</v>
      </c>
      <c r="D186" s="281" t="s">
        <v>87</v>
      </c>
      <c r="E186" s="281" t="s">
        <v>142</v>
      </c>
      <c r="F186" s="281" t="s">
        <v>87</v>
      </c>
      <c r="G186" s="281" t="s">
        <v>358</v>
      </c>
      <c r="H186" s="288" t="s">
        <v>307</v>
      </c>
      <c r="I186" s="281" t="s">
        <v>87</v>
      </c>
      <c r="J186" s="281" t="s">
        <v>453</v>
      </c>
      <c r="K186" s="304">
        <v>64.400000000000006</v>
      </c>
      <c r="L186" s="281"/>
    </row>
    <row r="187" spans="1:12" ht="13.5" thickBot="1" x14ac:dyDescent="0.25">
      <c r="A187" s="281" t="str">
        <f>IF(Tableau16[[#This Row],[Nom produit]]=Tableau16[[#This Row],[Variété]],Tableau16[[#This Row],[Nom produit]],_xlfn.CONCAT(Tableau16[[#This Row],[Nom produit]]," - ", Tableau16[[#This Row],[Variété]]))</f>
        <v>Cyber Fuel OG</v>
      </c>
      <c r="B187" s="298" t="s">
        <v>540</v>
      </c>
      <c r="C187" s="299">
        <v>629108285142</v>
      </c>
      <c r="D187" s="293" t="s">
        <v>87</v>
      </c>
      <c r="E187" s="292" t="s">
        <v>142</v>
      </c>
      <c r="F187" s="292" t="s">
        <v>87</v>
      </c>
      <c r="G187" s="292" t="s">
        <v>540</v>
      </c>
      <c r="H187" s="298" t="s">
        <v>541</v>
      </c>
      <c r="I187" s="294" t="s">
        <v>261</v>
      </c>
      <c r="J187" s="281" t="s">
        <v>453</v>
      </c>
      <c r="K187" s="300">
        <v>120</v>
      </c>
      <c r="L187" s="281"/>
    </row>
    <row r="188" spans="1:12" ht="15.75" thickBot="1" x14ac:dyDescent="0.3">
      <c r="A188" s="281" t="str">
        <f>IF(Tableau16[[#This Row],[Nom produit]]=Tableau16[[#This Row],[Variété]],Tableau16[[#This Row],[Nom produit]],_xlfn.CONCAT(Tableau16[[#This Row],[Nom produit]]," - ", Tableau16[[#This Row],[Variété]]))</f>
        <v>Drip N' Jiggle Grind (Moulu) - Drip N' Jiggle</v>
      </c>
      <c r="B188" s="326" t="s">
        <v>542</v>
      </c>
      <c r="C188" s="288"/>
      <c r="D188" t="s">
        <v>272</v>
      </c>
      <c r="E188" s="281" t="s">
        <v>142</v>
      </c>
      <c r="F188" s="281" t="s">
        <v>87</v>
      </c>
      <c r="G188" t="s">
        <v>543</v>
      </c>
      <c r="H188" s="326" t="s">
        <v>237</v>
      </c>
      <c r="I188" t="s">
        <v>494</v>
      </c>
      <c r="J188" s="281" t="s">
        <v>453</v>
      </c>
      <c r="K188" s="475">
        <v>70.099999999999994</v>
      </c>
      <c r="L188" s="281"/>
    </row>
    <row r="189" spans="1:12" ht="13.5" thickBot="1" x14ac:dyDescent="0.25">
      <c r="A189" s="281" t="str">
        <f>IF(Tableau16[[#This Row],[Nom produit]]=Tableau16[[#This Row],[Variété]],Tableau16[[#This Row],[Nom produit]],_xlfn.CONCAT(Tableau16[[#This Row],[Nom produit]]," - ", Tableau16[[#This Row],[Variété]]))</f>
        <v>Gas (Moulu) - En rotation</v>
      </c>
      <c r="B189" s="298" t="s">
        <v>544</v>
      </c>
      <c r="C189" s="299">
        <v>697238301032</v>
      </c>
      <c r="D189" s="293" t="s">
        <v>87</v>
      </c>
      <c r="E189" s="294" t="s">
        <v>142</v>
      </c>
      <c r="F189" s="292" t="s">
        <v>137</v>
      </c>
      <c r="G189" s="292" t="s">
        <v>264</v>
      </c>
      <c r="H189" s="298" t="s">
        <v>468</v>
      </c>
      <c r="I189" s="294" t="s">
        <v>87</v>
      </c>
      <c r="J189" s="281" t="s">
        <v>453</v>
      </c>
      <c r="K189" s="300">
        <v>64.900000000000006</v>
      </c>
      <c r="L189" s="281"/>
    </row>
    <row r="190" spans="1:12" ht="15.75" thickBot="1" x14ac:dyDescent="0.3">
      <c r="A190" s="281" t="str">
        <f>IF(Tableau16[[#This Row],[Nom produit]]=Tableau16[[#This Row],[Variété]],Tableau16[[#This Row],[Nom produit]],_xlfn.CONCAT(Tableau16[[#This Row],[Nom produit]]," - ", Tableau16[[#This Row],[Variété]]))</f>
        <v>H10 (Moulu) - Mélange</v>
      </c>
      <c r="B190" s="326" t="s">
        <v>545</v>
      </c>
      <c r="C190" s="359">
        <v>628634303207</v>
      </c>
      <c r="D190" t="s">
        <v>272</v>
      </c>
      <c r="E190" t="s">
        <v>142</v>
      </c>
      <c r="F190" t="s">
        <v>87</v>
      </c>
      <c r="G190" t="s">
        <v>358</v>
      </c>
      <c r="H190" s="326" t="s">
        <v>528</v>
      </c>
      <c r="I190" t="s">
        <v>284</v>
      </c>
      <c r="J190" s="281" t="s">
        <v>453</v>
      </c>
      <c r="K190" s="326">
        <v>71.8</v>
      </c>
      <c r="L190" s="281"/>
    </row>
    <row r="191" spans="1:12" ht="13.5" thickBot="1" x14ac:dyDescent="0.25">
      <c r="A191" s="281" t="str">
        <f>IF(Tableau16[[#This Row],[Nom produit]]=Tableau16[[#This Row],[Variété]],Tableau16[[#This Row],[Nom produit]],_xlfn.CONCAT(Tableau16[[#This Row],[Nom produit]]," - ", Tableau16[[#This Row],[Variété]]))</f>
        <v>Hydro Baie (Moulu) - Mélange</v>
      </c>
      <c r="B191" s="288" t="s">
        <v>546</v>
      </c>
      <c r="C191" s="288" t="s">
        <v>547</v>
      </c>
      <c r="D191" s="281" t="s">
        <v>87</v>
      </c>
      <c r="E191" s="281" t="s">
        <v>142</v>
      </c>
      <c r="F191" s="281" t="s">
        <v>87</v>
      </c>
      <c r="G191" s="281" t="s">
        <v>358</v>
      </c>
      <c r="H191" s="288" t="s">
        <v>307</v>
      </c>
      <c r="I191" s="281" t="s">
        <v>87</v>
      </c>
      <c r="J191" s="281" t="s">
        <v>453</v>
      </c>
      <c r="K191" s="304">
        <v>64.5</v>
      </c>
      <c r="L191" s="281"/>
    </row>
    <row r="192" spans="1:12" ht="13.5" thickBot="1" x14ac:dyDescent="0.25">
      <c r="A192" s="281" t="str">
        <f>IF(Tableau16[[#This Row],[Nom produit]]=Tableau16[[#This Row],[Variété]],Tableau16[[#This Row],[Nom produit]],_xlfn.CONCAT(Tableau16[[#This Row],[Nom produit]]," - ", Tableau16[[#This Row],[Variété]]))</f>
        <v>La Gaz à Lise - Gas Paradise</v>
      </c>
      <c r="B192" s="337" t="s">
        <v>548</v>
      </c>
      <c r="C192" s="336">
        <v>666592000684</v>
      </c>
      <c r="D192" s="281" t="s">
        <v>272</v>
      </c>
      <c r="E192" s="281" t="s">
        <v>142</v>
      </c>
      <c r="F192" s="281" t="s">
        <v>87</v>
      </c>
      <c r="G192" s="281" t="s">
        <v>549</v>
      </c>
      <c r="H192" s="337" t="s">
        <v>417</v>
      </c>
      <c r="I192" s="281"/>
      <c r="J192" s="281" t="s">
        <v>453</v>
      </c>
      <c r="K192" s="358">
        <v>100</v>
      </c>
      <c r="L192" s="281"/>
    </row>
    <row r="193" spans="1:12" ht="13.5" thickBot="1" x14ac:dyDescent="0.25">
      <c r="A193" s="281" t="str">
        <f>IF(Tableau16[[#This Row],[Nom produit]]=Tableau16[[#This Row],[Variété]],Tableau16[[#This Row],[Nom produit]],_xlfn.CONCAT(Tableau16[[#This Row],[Nom produit]]," - ", Tableau16[[#This Row],[Variété]]))</f>
        <v>La Moulinette (Moulu) - Mélange</v>
      </c>
      <c r="B193" s="337" t="s">
        <v>550</v>
      </c>
      <c r="C193" s="336">
        <v>820939003640</v>
      </c>
      <c r="D193" s="281" t="s">
        <v>87</v>
      </c>
      <c r="E193" s="281" t="s">
        <v>142</v>
      </c>
      <c r="F193" s="281" t="s">
        <v>87</v>
      </c>
      <c r="G193" s="281" t="s">
        <v>358</v>
      </c>
      <c r="H193" s="337" t="s">
        <v>243</v>
      </c>
      <c r="I193" s="281"/>
      <c r="J193" s="281" t="s">
        <v>453</v>
      </c>
      <c r="K193" s="358">
        <v>70.099999999999994</v>
      </c>
      <c r="L193" s="281"/>
    </row>
    <row r="194" spans="1:12" ht="13.5" thickBot="1" x14ac:dyDescent="0.25">
      <c r="A194" s="281" t="str">
        <f>IF(Tableau16[[#This Row],[Nom produit]]=Tableau16[[#This Row],[Variété]],Tableau16[[#This Row],[Nom produit]],_xlfn.CONCAT(Tableau16[[#This Row],[Nom produit]]," - ", Tableau16[[#This Row],[Variété]]))</f>
        <v>Lab 101 - En rotation</v>
      </c>
      <c r="B194" s="337" t="s">
        <v>551</v>
      </c>
      <c r="C194" s="336">
        <v>628176622804</v>
      </c>
      <c r="D194" s="281" t="s">
        <v>272</v>
      </c>
      <c r="E194" s="281" t="s">
        <v>142</v>
      </c>
      <c r="F194" s="281" t="s">
        <v>87</v>
      </c>
      <c r="G194" s="281" t="s">
        <v>264</v>
      </c>
      <c r="H194" s="337" t="s">
        <v>552</v>
      </c>
      <c r="I194" s="281"/>
      <c r="J194" s="281" t="s">
        <v>453</v>
      </c>
      <c r="K194" s="358">
        <v>110</v>
      </c>
      <c r="L194" s="281"/>
    </row>
    <row r="195" spans="1:12" ht="13.5" thickBot="1" x14ac:dyDescent="0.25">
      <c r="A195" s="281" t="str">
        <f>IF(Tableau16[[#This Row],[Nom produit]]=Tableau16[[#This Row],[Variété]],Tableau16[[#This Row],[Nom produit]],_xlfn.CONCAT(Tableau16[[#This Row],[Nom produit]]," - ", Tableau16[[#This Row],[Variété]]))</f>
        <v>London Pound Mints</v>
      </c>
      <c r="B195" s="431" t="s">
        <v>553</v>
      </c>
      <c r="C195" s="336">
        <v>628069580266</v>
      </c>
      <c r="D195" s="281" t="s">
        <v>87</v>
      </c>
      <c r="E195" s="281" t="s">
        <v>142</v>
      </c>
      <c r="F195" s="281" t="s">
        <v>135</v>
      </c>
      <c r="G195" s="281" t="s">
        <v>553</v>
      </c>
      <c r="H195" s="431" t="s">
        <v>530</v>
      </c>
      <c r="I195" s="281" t="s">
        <v>261</v>
      </c>
      <c r="J195" s="281" t="s">
        <v>453</v>
      </c>
      <c r="K195" s="358">
        <v>103.2</v>
      </c>
      <c r="L195" s="281"/>
    </row>
    <row r="196" spans="1:12" x14ac:dyDescent="0.2">
      <c r="A196" s="281" t="str">
        <f>IF(Tableau16[[#This Row],[Nom produit]]=Tableau16[[#This Row],[Variété]],Tableau16[[#This Row],[Nom produit]],_xlfn.CONCAT(Tableau16[[#This Row],[Nom produit]]," - ", Tableau16[[#This Row],[Variété]]))</f>
        <v>Mélange de Fruits (Moulu) - Mélange</v>
      </c>
      <c r="B196" s="292" t="s">
        <v>554</v>
      </c>
      <c r="C196" s="293">
        <v>820939002186</v>
      </c>
      <c r="D196" s="293" t="s">
        <v>87</v>
      </c>
      <c r="E196" s="292" t="s">
        <v>142</v>
      </c>
      <c r="F196" s="292" t="s">
        <v>87</v>
      </c>
      <c r="G196" s="292" t="s">
        <v>358</v>
      </c>
      <c r="H196" s="292" t="s">
        <v>260</v>
      </c>
      <c r="I196" s="294" t="s">
        <v>87</v>
      </c>
      <c r="J196" s="281" t="s">
        <v>453</v>
      </c>
      <c r="K196" s="294">
        <v>65</v>
      </c>
      <c r="L196" s="281"/>
    </row>
    <row r="197" spans="1:12" ht="13.5" thickBot="1" x14ac:dyDescent="0.25">
      <c r="A197" s="281" t="str">
        <f>IF(Tableau16[[#This Row],[Nom produit]]=Tableau16[[#This Row],[Variété]],Tableau16[[#This Row],[Nom produit]],_xlfn.CONCAT(Tableau16[[#This Row],[Nom produit]]," - ", Tableau16[[#This Row],[Variété]]))</f>
        <v>Mélange Floral (Moulu) - Mélange</v>
      </c>
      <c r="B197" s="431" t="s">
        <v>555</v>
      </c>
      <c r="C197" s="336">
        <v>820939002216</v>
      </c>
      <c r="D197" s="288" t="s">
        <v>87</v>
      </c>
      <c r="E197" s="288" t="s">
        <v>142</v>
      </c>
      <c r="F197" s="288" t="s">
        <v>87</v>
      </c>
      <c r="G197" s="288" t="s">
        <v>358</v>
      </c>
      <c r="H197" s="431" t="s">
        <v>260</v>
      </c>
      <c r="I197" s="288" t="s">
        <v>87</v>
      </c>
      <c r="J197" s="281" t="s">
        <v>453</v>
      </c>
      <c r="K197" s="358">
        <v>65</v>
      </c>
      <c r="L197" s="281"/>
    </row>
    <row r="198" spans="1:12" x14ac:dyDescent="0.2">
      <c r="A198" s="281" t="str">
        <f>IF(Tableau16[[#This Row],[Nom produit]]=Tableau16[[#This Row],[Variété]],Tableau16[[#This Row],[Nom produit]],_xlfn.CONCAT(Tableau16[[#This Row],[Nom produit]]," - ", Tableau16[[#This Row],[Variété]]))</f>
        <v>MiXK (Moulu) - Mélange</v>
      </c>
      <c r="B198" s="281" t="s">
        <v>556</v>
      </c>
      <c r="C198" s="280">
        <v>814559000325</v>
      </c>
      <c r="D198" s="281" t="s">
        <v>87</v>
      </c>
      <c r="E198" s="281" t="s">
        <v>142</v>
      </c>
      <c r="F198" s="281" t="s">
        <v>87</v>
      </c>
      <c r="G198" s="281" t="s">
        <v>358</v>
      </c>
      <c r="H198" s="281" t="s">
        <v>557</v>
      </c>
      <c r="I198" s="281" t="s">
        <v>87</v>
      </c>
      <c r="J198" s="281" t="s">
        <v>453</v>
      </c>
      <c r="K198" s="303">
        <v>69</v>
      </c>
      <c r="L198" s="281"/>
    </row>
    <row r="199" spans="1:12" ht="13.5" thickBot="1" x14ac:dyDescent="0.25">
      <c r="A199" s="281" t="str">
        <f>IF(Tableau16[[#This Row],[Nom produit]]=Tableau16[[#This Row],[Variété]],Tableau16[[#This Row],[Nom produit]],_xlfn.CONCAT(Tableau16[[#This Row],[Nom produit]]," - ", Tableau16[[#This Row],[Variété]]))</f>
        <v>Moon Berry</v>
      </c>
      <c r="B199" s="431" t="s">
        <v>558</v>
      </c>
      <c r="C199" s="336">
        <v>628582002559</v>
      </c>
      <c r="D199" s="288" t="s">
        <v>87</v>
      </c>
      <c r="E199" s="288" t="s">
        <v>142</v>
      </c>
      <c r="F199" s="288" t="s">
        <v>137</v>
      </c>
      <c r="G199" s="288" t="s">
        <v>558</v>
      </c>
      <c r="H199" s="431" t="s">
        <v>464</v>
      </c>
      <c r="I199" s="288" t="s">
        <v>269</v>
      </c>
      <c r="J199" s="281" t="s">
        <v>453</v>
      </c>
      <c r="K199" s="358">
        <v>120.9</v>
      </c>
      <c r="L199" s="281"/>
    </row>
    <row r="200" spans="1:12" x14ac:dyDescent="0.2">
      <c r="A200" s="281" t="str">
        <f>IF(Tableau16[[#This Row],[Nom produit]]=Tableau16[[#This Row],[Variété]],Tableau16[[#This Row],[Nom produit]],_xlfn.CONCAT(Tableau16[[#This Row],[Nom produit]]," - ", Tableau16[[#This Row],[Variété]]))</f>
        <v>Niaise Pas Avec la Puck (Moulu) - Cherry Noir</v>
      </c>
      <c r="B200" s="281" t="s">
        <v>559</v>
      </c>
      <c r="C200" s="281" t="s">
        <v>560</v>
      </c>
      <c r="D200" s="281" t="s">
        <v>272</v>
      </c>
      <c r="E200" s="281" t="s">
        <v>142</v>
      </c>
      <c r="F200" s="281" t="s">
        <v>137</v>
      </c>
      <c r="G200" s="281" t="s">
        <v>561</v>
      </c>
      <c r="H200" s="281" t="s">
        <v>417</v>
      </c>
      <c r="I200" s="281" t="s">
        <v>269</v>
      </c>
      <c r="J200" s="281" t="s">
        <v>453</v>
      </c>
      <c r="K200" s="303">
        <v>79.5</v>
      </c>
      <c r="L200" s="281"/>
    </row>
    <row r="201" spans="1:12" x14ac:dyDescent="0.2">
      <c r="A201" s="281" t="str">
        <f>IF(Tableau16[[#This Row],[Nom produit]]=Tableau16[[#This Row],[Variété]],Tableau16[[#This Row],[Nom produit]],_xlfn.CONCAT(Tableau16[[#This Row],[Nom produit]]," - ", Tableau16[[#This Row],[Variété]]))</f>
        <v>Nugz Grind Slerple (Moulu) - Slerple</v>
      </c>
      <c r="B201" s="443" t="s">
        <v>562</v>
      </c>
      <c r="C201" s="335">
        <v>628124815074</v>
      </c>
      <c r="D201" s="281" t="s">
        <v>272</v>
      </c>
      <c r="E201" s="281" t="s">
        <v>142</v>
      </c>
      <c r="F201" s="281" t="s">
        <v>87</v>
      </c>
      <c r="G201" s="281" t="s">
        <v>563</v>
      </c>
      <c r="H201" s="443" t="s">
        <v>237</v>
      </c>
      <c r="I201" s="281" t="s">
        <v>284</v>
      </c>
      <c r="J201" s="281" t="s">
        <v>453</v>
      </c>
      <c r="K201" s="444">
        <v>70.099999999999994</v>
      </c>
      <c r="L201" s="281"/>
    </row>
    <row r="202" spans="1:12" x14ac:dyDescent="0.2">
      <c r="A202" s="281" t="str">
        <f>IF(Tableau16[[#This Row],[Nom produit]]=Tableau16[[#This Row],[Variété]],Tableau16[[#This Row],[Nom produit]],_xlfn.CONCAT(Tableau16[[#This Row],[Nom produit]]," - ", Tableau16[[#This Row],[Variété]]))</f>
        <v>Nugz Sativa - En rotation</v>
      </c>
      <c r="B202" s="443" t="s">
        <v>564</v>
      </c>
      <c r="C202" s="335">
        <v>628124815036</v>
      </c>
      <c r="D202" s="281" t="s">
        <v>272</v>
      </c>
      <c r="E202" s="281" t="s">
        <v>142</v>
      </c>
      <c r="F202" s="281" t="s">
        <v>87</v>
      </c>
      <c r="G202" s="281" t="s">
        <v>264</v>
      </c>
      <c r="H202" s="443" t="s">
        <v>237</v>
      </c>
      <c r="I202" s="281" t="s">
        <v>87</v>
      </c>
      <c r="J202" s="281" t="s">
        <v>453</v>
      </c>
      <c r="K202" s="354">
        <v>85</v>
      </c>
      <c r="L202" s="281"/>
    </row>
    <row r="203" spans="1:12" s="338" customFormat="1" x14ac:dyDescent="0.2">
      <c r="A203" s="508" t="str">
        <f>IF(Tableau16[[#This Row],[Nom produit]]=Tableau16[[#This Row],[Variété]],Tableau16[[#This Row],[Nom produit]],_xlfn.CONCAT(Tableau16[[#This Row],[Nom produit]]," - ", Tableau16[[#This Row],[Variété]]))</f>
        <v>Sélections de Petits Lots - En rotation</v>
      </c>
      <c r="B203" s="508" t="s">
        <v>565</v>
      </c>
      <c r="C203" s="508"/>
      <c r="D203" s="508" t="s">
        <v>87</v>
      </c>
      <c r="E203" s="508" t="s">
        <v>142</v>
      </c>
      <c r="F203" s="508" t="s">
        <v>87</v>
      </c>
      <c r="G203" s="508" t="s">
        <v>264</v>
      </c>
      <c r="H203" s="508" t="s">
        <v>302</v>
      </c>
      <c r="I203" s="508" t="s">
        <v>87</v>
      </c>
      <c r="J203" s="508" t="s">
        <v>453</v>
      </c>
      <c r="K203" s="514">
        <v>105</v>
      </c>
      <c r="L203" s="508"/>
    </row>
    <row r="204" spans="1:12" x14ac:dyDescent="0.2">
      <c r="A204" s="281" t="str">
        <f>IF(Tableau16[[#This Row],[Nom produit]]=Tableau16[[#This Row],[Variété]],Tableau16[[#This Row],[Nom produit]],_xlfn.CONCAT(Tableau16[[#This Row],[Nom produit]]," - ", Tableau16[[#This Row],[Variété]]))</f>
        <v>OS.Shake - En rotation</v>
      </c>
      <c r="B204" s="281" t="s">
        <v>566</v>
      </c>
      <c r="C204" s="281" t="s">
        <v>567</v>
      </c>
      <c r="D204" s="281" t="s">
        <v>272</v>
      </c>
      <c r="E204" s="281" t="s">
        <v>142</v>
      </c>
      <c r="F204" s="281" t="s">
        <v>87</v>
      </c>
      <c r="G204" s="281" t="s">
        <v>264</v>
      </c>
      <c r="H204" s="281" t="s">
        <v>288</v>
      </c>
      <c r="I204" s="281" t="s">
        <v>269</v>
      </c>
      <c r="J204" s="281" t="s">
        <v>453</v>
      </c>
      <c r="K204" s="303">
        <v>66.400000000000006</v>
      </c>
      <c r="L204" s="281"/>
    </row>
    <row r="205" spans="1:12" x14ac:dyDescent="0.2">
      <c r="A205" s="281" t="str">
        <f>IF(Tableau16[[#This Row],[Nom produit]]=Tableau16[[#This Row],[Variété]],Tableau16[[#This Row],[Nom produit]],_xlfn.CONCAT(Tableau16[[#This Row],[Nom produit]]," - ", Tableau16[[#This Row],[Variété]]))</f>
        <v>Tropical and Twisted (Moulu) - Mélange</v>
      </c>
      <c r="B205" s="325" t="s">
        <v>568</v>
      </c>
      <c r="C205" s="335">
        <v>628242802444</v>
      </c>
      <c r="D205" s="281" t="s">
        <v>87</v>
      </c>
      <c r="E205" s="281" t="s">
        <v>142</v>
      </c>
      <c r="F205" s="281" t="s">
        <v>87</v>
      </c>
      <c r="G205" s="281" t="s">
        <v>358</v>
      </c>
      <c r="H205" s="325" t="s">
        <v>292</v>
      </c>
      <c r="I205" s="281"/>
      <c r="J205" s="281" t="s">
        <v>453</v>
      </c>
      <c r="K205" s="354">
        <v>70.2</v>
      </c>
      <c r="L205" s="281"/>
    </row>
    <row r="207" spans="1:12" x14ac:dyDescent="0.2">
      <c r="A207" s="640" t="s">
        <v>126</v>
      </c>
      <c r="B207" s="640"/>
      <c r="C207" s="640"/>
      <c r="D207" s="640"/>
      <c r="E207" s="640"/>
      <c r="F207" s="640"/>
      <c r="G207" s="640"/>
      <c r="H207" s="640"/>
      <c r="I207" s="640"/>
      <c r="J207" s="640"/>
      <c r="K207" s="640"/>
    </row>
    <row r="208" spans="1:12" x14ac:dyDescent="0.2">
      <c r="A208" s="240" t="s">
        <v>330</v>
      </c>
      <c r="B208" s="165" t="s">
        <v>250</v>
      </c>
      <c r="C208" s="165" t="s">
        <v>251</v>
      </c>
      <c r="D208" s="165" t="s">
        <v>252</v>
      </c>
      <c r="E208" s="165" t="s">
        <v>253</v>
      </c>
      <c r="F208" s="165" t="s">
        <v>254</v>
      </c>
      <c r="G208" s="165" t="s">
        <v>255</v>
      </c>
      <c r="H208" s="165" t="s">
        <v>4</v>
      </c>
      <c r="I208" s="165" t="s">
        <v>256</v>
      </c>
      <c r="J208" s="165" t="s">
        <v>5</v>
      </c>
      <c r="K208" s="165" t="s">
        <v>6</v>
      </c>
      <c r="L208" s="165" t="s">
        <v>257</v>
      </c>
    </row>
    <row r="209" spans="1:12" x14ac:dyDescent="0.2">
      <c r="A209" s="281" t="s">
        <v>87</v>
      </c>
      <c r="B209" s="281" t="s">
        <v>87</v>
      </c>
      <c r="C209" s="280" t="s">
        <v>87</v>
      </c>
      <c r="D209" s="281" t="s">
        <v>87</v>
      </c>
      <c r="E209" s="281" t="s">
        <v>87</v>
      </c>
      <c r="F209" s="281" t="s">
        <v>87</v>
      </c>
      <c r="G209" s="281" t="s">
        <v>87</v>
      </c>
      <c r="H209" s="281" t="s">
        <v>87</v>
      </c>
      <c r="I209" s="281" t="s">
        <v>87</v>
      </c>
      <c r="J209" s="281" t="s">
        <v>87</v>
      </c>
      <c r="K209" s="290" t="s">
        <v>87</v>
      </c>
      <c r="L209" s="281"/>
    </row>
    <row r="210" spans="1:12" ht="15" x14ac:dyDescent="0.25">
      <c r="A210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Alaskan Ice (Sativa)</v>
      </c>
      <c r="B210" t="s">
        <v>569</v>
      </c>
      <c r="C210" s="281"/>
      <c r="D210" t="s">
        <v>272</v>
      </c>
      <c r="E210" t="s">
        <v>137</v>
      </c>
      <c r="F210" s="281" t="s">
        <v>87</v>
      </c>
      <c r="G210" t="s">
        <v>569</v>
      </c>
      <c r="H210" t="s">
        <v>570</v>
      </c>
      <c r="I210" t="s">
        <v>269</v>
      </c>
      <c r="J210" s="281" t="s">
        <v>571</v>
      </c>
      <c r="K210" s="474">
        <v>11.4</v>
      </c>
      <c r="L210" s="281"/>
    </row>
    <row r="211" spans="1:12" x14ac:dyDescent="0.2">
      <c r="A211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Chocolate Fondue (Sativa)</v>
      </c>
      <c r="B211" s="281" t="s">
        <v>572</v>
      </c>
      <c r="C211" s="281" t="s">
        <v>573</v>
      </c>
      <c r="D211" s="281" t="s">
        <v>87</v>
      </c>
      <c r="E211" s="281" t="s">
        <v>137</v>
      </c>
      <c r="F211" s="281" t="s">
        <v>87</v>
      </c>
      <c r="G211" s="281" t="s">
        <v>572</v>
      </c>
      <c r="H211" s="281" t="s">
        <v>574</v>
      </c>
      <c r="I211" s="281" t="s">
        <v>284</v>
      </c>
      <c r="J211" s="281" t="s">
        <v>571</v>
      </c>
      <c r="K211" s="303">
        <v>12.1</v>
      </c>
      <c r="L211" s="281"/>
    </row>
    <row r="212" spans="1:12" x14ac:dyDescent="0.2">
      <c r="A212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Dark Shadow Haze -  (Sativa)</v>
      </c>
      <c r="B212" s="325" t="s">
        <v>575</v>
      </c>
      <c r="C212" s="335">
        <v>843087002440</v>
      </c>
      <c r="D212" s="281" t="s">
        <v>272</v>
      </c>
      <c r="E212" s="281" t="s">
        <v>137</v>
      </c>
      <c r="F212" s="281" t="s">
        <v>87</v>
      </c>
      <c r="G212" s="281"/>
      <c r="H212" s="281" t="s">
        <v>576</v>
      </c>
      <c r="I212" s="281"/>
      <c r="J212" s="281" t="s">
        <v>571</v>
      </c>
      <c r="K212" s="327">
        <v>11.4</v>
      </c>
      <c r="L212" s="281"/>
    </row>
    <row r="213" spans="1:12" x14ac:dyDescent="0.2">
      <c r="A213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GG (Hybride)</v>
      </c>
      <c r="B213" s="281" t="s">
        <v>577</v>
      </c>
      <c r="C213" s="281">
        <v>843087004208</v>
      </c>
      <c r="D213" s="281" t="s">
        <v>272</v>
      </c>
      <c r="E213" s="281" t="s">
        <v>142</v>
      </c>
      <c r="F213" s="281" t="s">
        <v>87</v>
      </c>
      <c r="G213" s="281" t="s">
        <v>577</v>
      </c>
      <c r="H213" s="281" t="s">
        <v>576</v>
      </c>
      <c r="I213" s="281" t="s">
        <v>284</v>
      </c>
      <c r="J213" s="281" t="s">
        <v>571</v>
      </c>
      <c r="K213" s="303">
        <v>9.6</v>
      </c>
      <c r="L213" s="281"/>
    </row>
    <row r="214" spans="1:12" x14ac:dyDescent="0.2">
      <c r="A214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GMO Garlic Breath (Indica)</v>
      </c>
      <c r="B214" s="281" t="s">
        <v>578</v>
      </c>
      <c r="C214" s="281" t="s">
        <v>579</v>
      </c>
      <c r="D214" s="281" t="s">
        <v>87</v>
      </c>
      <c r="E214" s="281" t="s">
        <v>135</v>
      </c>
      <c r="F214" s="281" t="s">
        <v>87</v>
      </c>
      <c r="G214" s="281" t="s">
        <v>578</v>
      </c>
      <c r="H214" s="281" t="s">
        <v>580</v>
      </c>
      <c r="I214" s="281" t="s">
        <v>269</v>
      </c>
      <c r="J214" s="281" t="s">
        <v>571</v>
      </c>
      <c r="K214" s="303">
        <v>12.1</v>
      </c>
      <c r="L214" s="281"/>
    </row>
    <row r="215" spans="1:12" x14ac:dyDescent="0.2">
      <c r="A215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Harmoniser - Nordle (Hybride)</v>
      </c>
      <c r="B215" s="281" t="s">
        <v>21</v>
      </c>
      <c r="C215" s="281" t="s">
        <v>581</v>
      </c>
      <c r="D215" s="281" t="s">
        <v>87</v>
      </c>
      <c r="E215" s="281" t="s">
        <v>142</v>
      </c>
      <c r="F215" s="281" t="s">
        <v>87</v>
      </c>
      <c r="G215" s="281" t="s">
        <v>582</v>
      </c>
      <c r="H215" s="281" t="s">
        <v>583</v>
      </c>
      <c r="I215" s="281" t="s">
        <v>299</v>
      </c>
      <c r="J215" s="281" t="s">
        <v>571</v>
      </c>
      <c r="K215" s="303">
        <v>8.9</v>
      </c>
      <c r="L215" s="281"/>
    </row>
    <row r="216" spans="1:12" ht="15" x14ac:dyDescent="0.25">
      <c r="A216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L'Bon Voisin - Alien Cookies (Sativa)</v>
      </c>
      <c r="B216" t="s">
        <v>584</v>
      </c>
      <c r="C216" s="281"/>
      <c r="D216" t="s">
        <v>272</v>
      </c>
      <c r="E216" t="s">
        <v>137</v>
      </c>
      <c r="F216" s="281" t="s">
        <v>87</v>
      </c>
      <c r="G216" t="s">
        <v>585</v>
      </c>
      <c r="H216" t="s">
        <v>417</v>
      </c>
      <c r="I216" t="s">
        <v>284</v>
      </c>
      <c r="J216" s="281" t="s">
        <v>571</v>
      </c>
      <c r="K216" s="474">
        <v>10</v>
      </c>
      <c r="L216" s="281"/>
    </row>
    <row r="217" spans="1:12" ht="15" x14ac:dyDescent="0.25">
      <c r="A217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Le P'tit Phéno CBD - En rotation (Sativa)</v>
      </c>
      <c r="B217" t="s">
        <v>586</v>
      </c>
      <c r="C217" s="281"/>
      <c r="D217" t="s">
        <v>272</v>
      </c>
      <c r="E217" t="s">
        <v>137</v>
      </c>
      <c r="F217" s="281" t="s">
        <v>87</v>
      </c>
      <c r="G217" t="s">
        <v>264</v>
      </c>
      <c r="H217" t="s">
        <v>587</v>
      </c>
      <c r="I217" t="s">
        <v>261</v>
      </c>
      <c r="J217" s="281" t="s">
        <v>571</v>
      </c>
      <c r="K217" s="474">
        <v>11.9</v>
      </c>
      <c r="L217" s="281"/>
    </row>
    <row r="218" spans="1:12" ht="15" x14ac:dyDescent="0.25">
      <c r="A218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Le P'tit Phéno Indica - En rotation (Indica)</v>
      </c>
      <c r="B218" t="s">
        <v>588</v>
      </c>
      <c r="C218" s="281"/>
      <c r="D218" t="s">
        <v>272</v>
      </c>
      <c r="E218" t="s">
        <v>135</v>
      </c>
      <c r="F218" s="281" t="s">
        <v>87</v>
      </c>
      <c r="G218" t="s">
        <v>264</v>
      </c>
      <c r="H218" t="s">
        <v>587</v>
      </c>
      <c r="I218" t="s">
        <v>269</v>
      </c>
      <c r="J218" s="281" t="s">
        <v>571</v>
      </c>
      <c r="K218" s="474">
        <v>11.9</v>
      </c>
      <c r="L218" s="281"/>
    </row>
    <row r="219" spans="1:12" ht="15" x14ac:dyDescent="0.25">
      <c r="A219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Le P'tit Phéno Sativa - En rotation (Sativa)</v>
      </c>
      <c r="B219" t="s">
        <v>589</v>
      </c>
      <c r="C219" s="281"/>
      <c r="D219" t="s">
        <v>272</v>
      </c>
      <c r="E219" t="s">
        <v>137</v>
      </c>
      <c r="F219" s="281" t="s">
        <v>87</v>
      </c>
      <c r="G219" t="s">
        <v>264</v>
      </c>
      <c r="H219" t="s">
        <v>587</v>
      </c>
      <c r="I219" t="s">
        <v>269</v>
      </c>
      <c r="J219" s="281" t="s">
        <v>571</v>
      </c>
      <c r="K219" s="474">
        <v>11.9</v>
      </c>
      <c r="L219" s="281"/>
    </row>
    <row r="220" spans="1:12" x14ac:dyDescent="0.2">
      <c r="A220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Pennywise 1:1 (Hybride)</v>
      </c>
      <c r="B220" s="292" t="s">
        <v>590</v>
      </c>
      <c r="C220" s="293">
        <v>820939002438</v>
      </c>
      <c r="D220" s="293" t="s">
        <v>87</v>
      </c>
      <c r="E220" s="292" t="s">
        <v>142</v>
      </c>
      <c r="F220" s="292" t="s">
        <v>87</v>
      </c>
      <c r="G220" s="292" t="s">
        <v>590</v>
      </c>
      <c r="H220" s="292" t="s">
        <v>260</v>
      </c>
      <c r="I220" s="294" t="s">
        <v>269</v>
      </c>
      <c r="J220" s="292" t="s">
        <v>571</v>
      </c>
      <c r="K220" s="294">
        <v>8.9</v>
      </c>
      <c r="L220" s="281"/>
    </row>
    <row r="221" spans="1:12" x14ac:dyDescent="0.2">
      <c r="A221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Plaisirs CBD - Mélange (Hybride)</v>
      </c>
      <c r="B221" s="292" t="s">
        <v>591</v>
      </c>
      <c r="C221" s="293">
        <v>820939002445</v>
      </c>
      <c r="D221" s="293" t="s">
        <v>87</v>
      </c>
      <c r="E221" s="292" t="s">
        <v>142</v>
      </c>
      <c r="F221" s="292" t="s">
        <v>87</v>
      </c>
      <c r="G221" s="292" t="s">
        <v>358</v>
      </c>
      <c r="H221" s="292" t="s">
        <v>243</v>
      </c>
      <c r="I221" s="294" t="s">
        <v>87</v>
      </c>
      <c r="J221" s="292" t="s">
        <v>571</v>
      </c>
      <c r="K221" s="294">
        <v>10.6</v>
      </c>
      <c r="L221" s="281"/>
    </row>
    <row r="222" spans="1:12" x14ac:dyDescent="0.2">
      <c r="A222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Plaisirs Équilibrés - Mélange (Hybride)</v>
      </c>
      <c r="B222" s="292" t="s">
        <v>592</v>
      </c>
      <c r="C222" s="293">
        <v>820939002421</v>
      </c>
      <c r="D222" s="293" t="s">
        <v>87</v>
      </c>
      <c r="E222" s="292" t="s">
        <v>142</v>
      </c>
      <c r="F222" s="292" t="s">
        <v>87</v>
      </c>
      <c r="G222" s="292" t="s">
        <v>358</v>
      </c>
      <c r="H222" s="292" t="s">
        <v>243</v>
      </c>
      <c r="I222" s="294" t="s">
        <v>87</v>
      </c>
      <c r="J222" s="292" t="s">
        <v>571</v>
      </c>
      <c r="K222" s="294">
        <v>10.6</v>
      </c>
      <c r="L222" s="281"/>
    </row>
    <row r="223" spans="1:12" x14ac:dyDescent="0.2">
      <c r="A223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Plaisirs THC - Mélange (Hybride)</v>
      </c>
      <c r="B223" s="292" t="s">
        <v>593</v>
      </c>
      <c r="C223" s="293">
        <v>820939002414</v>
      </c>
      <c r="D223" s="293" t="s">
        <v>272</v>
      </c>
      <c r="E223" s="292" t="s">
        <v>142</v>
      </c>
      <c r="F223" s="292" t="s">
        <v>87</v>
      </c>
      <c r="G223" s="292" t="s">
        <v>358</v>
      </c>
      <c r="H223" s="292" t="s">
        <v>243</v>
      </c>
      <c r="I223" s="294" t="s">
        <v>87</v>
      </c>
      <c r="J223" s="292" t="s">
        <v>571</v>
      </c>
      <c r="K223" s="294">
        <v>10.6</v>
      </c>
      <c r="L223" s="281"/>
    </row>
    <row r="224" spans="1:12" ht="13.5" thickBot="1" x14ac:dyDescent="0.25">
      <c r="A224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Pure Kush (Indica)</v>
      </c>
      <c r="B224" s="288" t="s">
        <v>594</v>
      </c>
      <c r="C224" s="288">
        <v>870814001056</v>
      </c>
      <c r="D224" s="288" t="s">
        <v>272</v>
      </c>
      <c r="E224" s="288" t="s">
        <v>135</v>
      </c>
      <c r="F224" s="288" t="s">
        <v>87</v>
      </c>
      <c r="G224" s="288" t="s">
        <v>594</v>
      </c>
      <c r="H224" s="288" t="s">
        <v>570</v>
      </c>
      <c r="I224" s="288"/>
      <c r="J224" s="288" t="s">
        <v>571</v>
      </c>
      <c r="K224" s="304">
        <v>10.9</v>
      </c>
      <c r="L224" s="281"/>
    </row>
    <row r="225" spans="1:12" x14ac:dyDescent="0.2">
      <c r="A225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Renouer - Jack Herer (Sativa)</v>
      </c>
      <c r="B225" s="281" t="s">
        <v>595</v>
      </c>
      <c r="C225" s="281" t="s">
        <v>596</v>
      </c>
      <c r="D225" s="281" t="s">
        <v>87</v>
      </c>
      <c r="E225" s="281" t="s">
        <v>137</v>
      </c>
      <c r="F225" s="281" t="s">
        <v>87</v>
      </c>
      <c r="G225" s="281" t="s">
        <v>597</v>
      </c>
      <c r="H225" s="281" t="s">
        <v>583</v>
      </c>
      <c r="I225" s="281" t="s">
        <v>299</v>
      </c>
      <c r="J225" s="281" t="s">
        <v>571</v>
      </c>
      <c r="K225" s="303">
        <v>8.9</v>
      </c>
      <c r="L225" s="281"/>
    </row>
    <row r="226" spans="1:12" x14ac:dyDescent="0.2">
      <c r="A226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Shishkaberry (Indica)</v>
      </c>
      <c r="B226" s="281" t="s">
        <v>598</v>
      </c>
      <c r="C226" s="281">
        <v>870814001063</v>
      </c>
      <c r="D226" s="281" t="s">
        <v>272</v>
      </c>
      <c r="E226" s="281" t="s">
        <v>135</v>
      </c>
      <c r="F226" s="281" t="s">
        <v>87</v>
      </c>
      <c r="G226" s="281" t="s">
        <v>598</v>
      </c>
      <c r="H226" s="281" t="s">
        <v>570</v>
      </c>
      <c r="I226" s="281"/>
      <c r="J226" s="281" t="s">
        <v>571</v>
      </c>
      <c r="K226" s="303">
        <v>10.9</v>
      </c>
      <c r="L226" s="281"/>
    </row>
    <row r="227" spans="1:12" x14ac:dyDescent="0.2">
      <c r="A227" s="281" t="str">
        <f>IF(Tableau17[[#This Row],[Nom produit]]=Tableau17[[#This Row],[Variété]],_xlfn.CONCAT(Tableau17[[#This Row],[Nom produit]]," (",Tableau17[[#This Row],[Espèce]],")"),_xlfn.CONCAT(Tableau17[[#This Row],[Nom produit]]," - ", Tableau17[[#This Row],[Variété]]," (",Tableau17[[#This Row],[Espèce]],")"))</f>
        <v>Sour Amnesia (Sativa)</v>
      </c>
      <c r="B227" s="292" t="s">
        <v>599</v>
      </c>
      <c r="C227" s="293">
        <v>688083013768</v>
      </c>
      <c r="D227" s="293" t="s">
        <v>87</v>
      </c>
      <c r="E227" s="292" t="s">
        <v>137</v>
      </c>
      <c r="F227" s="292" t="s">
        <v>87</v>
      </c>
      <c r="G227" s="292" t="s">
        <v>599</v>
      </c>
      <c r="H227" s="292" t="s">
        <v>271</v>
      </c>
      <c r="I227" s="294" t="s">
        <v>278</v>
      </c>
      <c r="J227" s="292" t="s">
        <v>571</v>
      </c>
      <c r="K227" s="294">
        <v>11.9</v>
      </c>
      <c r="L227" s="281"/>
    </row>
    <row r="229" spans="1:12" x14ac:dyDescent="0.2">
      <c r="A229" s="640" t="s">
        <v>132</v>
      </c>
      <c r="B229" s="640"/>
      <c r="C229" s="640"/>
      <c r="D229" s="640"/>
      <c r="E229" s="640"/>
      <c r="F229" s="640"/>
      <c r="G229" s="640"/>
      <c r="H229" s="640"/>
      <c r="I229" s="640"/>
      <c r="J229" s="640"/>
      <c r="K229" s="640"/>
      <c r="L229" s="640"/>
    </row>
    <row r="230" spans="1:12" x14ac:dyDescent="0.2">
      <c r="A230" s="240" t="s">
        <v>330</v>
      </c>
      <c r="B230" s="165" t="s">
        <v>250</v>
      </c>
      <c r="C230" s="165" t="s">
        <v>251</v>
      </c>
      <c r="D230" s="165" t="s">
        <v>252</v>
      </c>
      <c r="E230" s="165" t="s">
        <v>253</v>
      </c>
      <c r="F230" s="165" t="s">
        <v>254</v>
      </c>
      <c r="G230" s="165" t="s">
        <v>255</v>
      </c>
      <c r="H230" s="165" t="s">
        <v>4</v>
      </c>
      <c r="I230" s="165" t="s">
        <v>256</v>
      </c>
      <c r="J230" s="165" t="s">
        <v>5</v>
      </c>
      <c r="K230" s="165" t="s">
        <v>6</v>
      </c>
      <c r="L230" s="165" t="s">
        <v>257</v>
      </c>
    </row>
    <row r="231" spans="1:12" x14ac:dyDescent="0.2">
      <c r="A231" s="281" t="s">
        <v>87</v>
      </c>
      <c r="B231" s="281" t="s">
        <v>87</v>
      </c>
      <c r="C231" s="280" t="s">
        <v>87</v>
      </c>
      <c r="D231" s="281" t="s">
        <v>87</v>
      </c>
      <c r="E231" s="281" t="s">
        <v>87</v>
      </c>
      <c r="F231" s="281" t="s">
        <v>87</v>
      </c>
      <c r="G231" s="281" t="s">
        <v>87</v>
      </c>
      <c r="H231" s="281" t="s">
        <v>87</v>
      </c>
      <c r="I231" s="281" t="s">
        <v>87</v>
      </c>
      <c r="J231" s="281" t="s">
        <v>87</v>
      </c>
      <c r="K231" s="290" t="s">
        <v>87</v>
      </c>
      <c r="L231" s="281"/>
    </row>
    <row r="232" spans="1:12" ht="15" x14ac:dyDescent="0.25">
      <c r="A232" s="281" t="str">
        <f>IF(Tableau8[[#This Row],[Nom produit]]=Tableau8[[#This Row],[Variété]],_xlfn.CONCAT(Tableau8[[#This Row],[Nom produit]]," (",Tableau8[[#This Row],[Espèce]],")"),_xlfn.CONCAT(Tableau8[[#This Row],[Nom produit]]," - ", Tableau8[[#This Row],[Variété]]," (",Tableau8[[#This Row],[Espèce]],")"))</f>
        <v>Cactus Funk Breath (Indica)</v>
      </c>
      <c r="B232" t="s">
        <v>600</v>
      </c>
      <c r="C232" s="280"/>
      <c r="D232" t="s">
        <v>87</v>
      </c>
      <c r="E232" t="s">
        <v>135</v>
      </c>
      <c r="F232" s="281" t="s">
        <v>87</v>
      </c>
      <c r="G232" t="s">
        <v>600</v>
      </c>
      <c r="H232" t="s">
        <v>601</v>
      </c>
      <c r="I232" t="s">
        <v>269</v>
      </c>
      <c r="J232" s="281" t="s">
        <v>602</v>
      </c>
      <c r="K232" s="474">
        <v>50.9</v>
      </c>
      <c r="L232" s="281"/>
    </row>
    <row r="233" spans="1:12" ht="15" x14ac:dyDescent="0.25">
      <c r="A233" s="281" t="str">
        <f>IF(Tableau8[[#This Row],[Nom produit]]=Tableau8[[#This Row],[Variété]],_xlfn.CONCAT(Tableau8[[#This Row],[Nom produit]]," (",Tableau8[[#This Row],[Espèce]],")"),_xlfn.CONCAT(Tableau8[[#This Row],[Nom produit]]," - ", Tableau8[[#This Row],[Variété]]," (",Tableau8[[#This Row],[Espèce]],")"))</f>
        <v>Duo Sorbet Cerise et Lime - Variétés Mixtes (Hybride)</v>
      </c>
      <c r="B233" t="s">
        <v>1013</v>
      </c>
      <c r="C233" s="280"/>
      <c r="D233" t="s">
        <v>272</v>
      </c>
      <c r="E233" t="s">
        <v>142</v>
      </c>
      <c r="F233" s="281" t="s">
        <v>87</v>
      </c>
      <c r="G233" t="s">
        <v>1017</v>
      </c>
      <c r="H233" t="s">
        <v>1014</v>
      </c>
      <c r="I233"/>
      <c r="J233" s="281" t="s">
        <v>1015</v>
      </c>
      <c r="K233" s="474">
        <v>55</v>
      </c>
      <c r="L233" s="281"/>
    </row>
    <row r="234" spans="1:12" ht="15" x14ac:dyDescent="0.25">
      <c r="A234" s="281" t="str">
        <f>IF(Tableau8[[#This Row],[Nom produit]]=Tableau8[[#This Row],[Variété]],_xlfn.CONCAT(Tableau8[[#This Row],[Nom produit]]," (",Tableau8[[#This Row],[Espèce]],")"),_xlfn.CONCAT(Tableau8[[#This Row],[Nom produit]]," - ", Tableau8[[#This Row],[Variété]]," (",Tableau8[[#This Row],[Espèce]],")"))</f>
        <v>Duplex - Variétés Mixtes (Hybride)</v>
      </c>
      <c r="B234" t="s">
        <v>1016</v>
      </c>
      <c r="C234" s="280"/>
      <c r="D234" t="s">
        <v>87</v>
      </c>
      <c r="E234" t="s">
        <v>142</v>
      </c>
      <c r="F234" s="281" t="s">
        <v>87</v>
      </c>
      <c r="G234" t="s">
        <v>1017</v>
      </c>
      <c r="H234" t="s">
        <v>271</v>
      </c>
      <c r="I234"/>
      <c r="J234" s="281" t="s">
        <v>1015</v>
      </c>
      <c r="K234" s="474">
        <v>50.9</v>
      </c>
      <c r="L234" s="281"/>
    </row>
    <row r="235" spans="1:12" ht="15" x14ac:dyDescent="0.25">
      <c r="A235" s="281" t="str">
        <f>IF(Tableau8[[#This Row],[Nom produit]]=Tableau8[[#This Row],[Variété]],_xlfn.CONCAT(Tableau8[[#This Row],[Nom produit]]," (",Tableau8[[#This Row],[Espèce]],")"),_xlfn.CONCAT(Tableau8[[#This Row],[Nom produit]]," - ", Tableau8[[#This Row],[Variété]]," (",Tableau8[[#This Row],[Espèce]],")"))</f>
        <v>Flamingo (Indica)</v>
      </c>
      <c r="B235" t="s">
        <v>603</v>
      </c>
      <c r="C235" s="280"/>
      <c r="D235" t="s">
        <v>87</v>
      </c>
      <c r="E235" t="s">
        <v>135</v>
      </c>
      <c r="F235" s="281" t="s">
        <v>87</v>
      </c>
      <c r="G235" t="s">
        <v>603</v>
      </c>
      <c r="H235" t="s">
        <v>604</v>
      </c>
      <c r="I235" t="s">
        <v>261</v>
      </c>
      <c r="J235" s="281" t="s">
        <v>602</v>
      </c>
      <c r="K235" s="474">
        <v>67.400000000000006</v>
      </c>
      <c r="L235" s="281"/>
    </row>
    <row r="236" spans="1:12" ht="15" x14ac:dyDescent="0.25">
      <c r="A236" s="281" t="str">
        <f>IF(Tableau8[[#This Row],[Nom produit]]=Tableau8[[#This Row],[Variété]],_xlfn.CONCAT(Tableau8[[#This Row],[Nom produit]]," (",Tableau8[[#This Row],[Espèce]],")"),_xlfn.CONCAT(Tableau8[[#This Row],[Nom produit]]," - ", Tableau8[[#This Row],[Variété]]," (",Tableau8[[#This Row],[Espèce]],")"))</f>
        <v>Okanagan Pink (Indica)</v>
      </c>
      <c r="B236" t="s">
        <v>605</v>
      </c>
      <c r="C236" s="280"/>
      <c r="D236" t="s">
        <v>87</v>
      </c>
      <c r="E236" t="s">
        <v>135</v>
      </c>
      <c r="F236" s="281" t="s">
        <v>87</v>
      </c>
      <c r="G236" t="s">
        <v>605</v>
      </c>
      <c r="H236" t="s">
        <v>394</v>
      </c>
      <c r="I236" t="s">
        <v>284</v>
      </c>
      <c r="J236" s="281" t="s">
        <v>602</v>
      </c>
      <c r="K236" s="474">
        <v>48.3</v>
      </c>
      <c r="L236" s="281"/>
    </row>
    <row r="237" spans="1:12" ht="15" x14ac:dyDescent="0.25">
      <c r="A237" s="281" t="str">
        <f>IF(Tableau8[[#This Row],[Nom produit]]=Tableau8[[#This Row],[Variété]],_xlfn.CONCAT(Tableau8[[#This Row],[Nom produit]]," (",Tableau8[[#This Row],[Espèce]],")"),_xlfn.CONCAT(Tableau8[[#This Row],[Nom produit]]," - ", Tableau8[[#This Row],[Variété]]," (",Tableau8[[#This Row],[Espèce]],")"))</f>
        <v>Z-Splitter Punch (Hybride)</v>
      </c>
      <c r="B237" t="s">
        <v>606</v>
      </c>
      <c r="C237" s="281"/>
      <c r="D237" t="s">
        <v>272</v>
      </c>
      <c r="E237" t="s">
        <v>142</v>
      </c>
      <c r="F237" s="281" t="s">
        <v>87</v>
      </c>
      <c r="G237" t="s">
        <v>606</v>
      </c>
      <c r="H237" t="s">
        <v>607</v>
      </c>
      <c r="I237" t="s">
        <v>261</v>
      </c>
      <c r="J237" s="281" t="s">
        <v>602</v>
      </c>
      <c r="K237" s="474">
        <v>54.5</v>
      </c>
      <c r="L237" s="281"/>
    </row>
  </sheetData>
  <mergeCells count="8">
    <mergeCell ref="A229:L229"/>
    <mergeCell ref="A207:K207"/>
    <mergeCell ref="A1:K1"/>
    <mergeCell ref="B130:K130"/>
    <mergeCell ref="A41:K41"/>
    <mergeCell ref="A82:K82"/>
    <mergeCell ref="A177:K177"/>
    <mergeCell ref="A152:K152"/>
  </mergeCells>
  <phoneticPr fontId="31" type="noConversion"/>
  <conditionalFormatting sqref="C221">
    <cfRule type="duplicateValues" dxfId="226" priority="14"/>
  </conditionalFormatting>
  <conditionalFormatting sqref="C16:C18">
    <cfRule type="duplicateValues" dxfId="225" priority="33"/>
  </conditionalFormatting>
  <conditionalFormatting sqref="C142">
    <cfRule type="duplicateValues" dxfId="224" priority="8"/>
  </conditionalFormatting>
  <conditionalFormatting sqref="C105:C110 C98">
    <cfRule type="duplicateValues" dxfId="223" priority="5"/>
  </conditionalFormatting>
  <conditionalFormatting sqref="C99:C104">
    <cfRule type="duplicateValues" dxfId="222" priority="6"/>
  </conditionalFormatting>
  <conditionalFormatting sqref="C192:C195 C182:C184">
    <cfRule type="duplicateValues" dxfId="221" priority="4"/>
  </conditionalFormatting>
  <conditionalFormatting sqref="C138:C139">
    <cfRule type="duplicateValues" dxfId="220" priority="2"/>
  </conditionalFormatting>
  <conditionalFormatting sqref="C7:C13">
    <cfRule type="duplicateValues" dxfId="219" priority="34"/>
  </conditionalFormatting>
  <conditionalFormatting sqref="C136">
    <cfRule type="duplicateValues" dxfId="218" priority="1"/>
  </conditionalFormatting>
  <conditionalFormatting sqref="C185:C191">
    <cfRule type="duplicateValues" dxfId="217" priority="46"/>
  </conditionalFormatting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BD3F6-19BC-40CA-AF87-96DA23F973A8}">
  <sheetPr codeName="Feuil6">
    <tabColor theme="0" tint="-0.499984740745262"/>
  </sheetPr>
  <dimension ref="A1:L156"/>
  <sheetViews>
    <sheetView workbookViewId="0">
      <selection activeCell="A90" sqref="A90"/>
    </sheetView>
  </sheetViews>
  <sheetFormatPr baseColWidth="10" defaultColWidth="11.42578125" defaultRowHeight="15" x14ac:dyDescent="0.25"/>
  <cols>
    <col min="1" max="1" width="19" customWidth="1"/>
    <col min="2" max="2" width="19.7109375" customWidth="1"/>
    <col min="3" max="3" width="15" customWidth="1"/>
    <col min="4" max="4" width="17.42578125" customWidth="1"/>
    <col min="5" max="5" width="16.28515625" customWidth="1"/>
    <col min="6" max="6" width="18.140625" customWidth="1"/>
    <col min="7" max="7" width="19.85546875" customWidth="1"/>
    <col min="8" max="8" width="13.42578125" customWidth="1"/>
    <col min="11" max="11" width="13.28515625" customWidth="1"/>
  </cols>
  <sheetData>
    <row r="1" spans="1:12" ht="15.75" thickBot="1" x14ac:dyDescent="0.3"/>
    <row r="2" spans="1:12" ht="15" customHeight="1" x14ac:dyDescent="0.25">
      <c r="A2" s="645" t="s">
        <v>608</v>
      </c>
      <c r="B2" s="646"/>
      <c r="C2" s="646"/>
      <c r="D2" s="646"/>
      <c r="E2" s="646"/>
      <c r="F2" s="646"/>
      <c r="G2" s="646"/>
      <c r="H2" s="646"/>
      <c r="I2" s="646"/>
      <c r="J2" s="646"/>
      <c r="K2" s="646"/>
      <c r="L2" s="647"/>
    </row>
    <row r="3" spans="1:12" ht="15.75" customHeight="1" thickBot="1" x14ac:dyDescent="0.3">
      <c r="A3" s="648"/>
      <c r="B3" s="649"/>
      <c r="C3" s="649"/>
      <c r="D3" s="649"/>
      <c r="E3" s="649"/>
      <c r="F3" s="649"/>
      <c r="G3" s="649"/>
      <c r="H3" s="649"/>
      <c r="I3" s="649"/>
      <c r="J3" s="649"/>
      <c r="K3" s="649"/>
      <c r="L3" s="650"/>
    </row>
    <row r="5" spans="1:12" x14ac:dyDescent="0.25">
      <c r="A5" s="156" t="s">
        <v>251</v>
      </c>
      <c r="B5" s="155" t="s">
        <v>253</v>
      </c>
      <c r="C5" s="154" t="s">
        <v>250</v>
      </c>
      <c r="D5" s="154" t="s">
        <v>255</v>
      </c>
      <c r="E5" s="154" t="s">
        <v>4</v>
      </c>
      <c r="F5" s="154" t="s">
        <v>256</v>
      </c>
      <c r="G5" s="154" t="s">
        <v>609</v>
      </c>
      <c r="H5" s="154" t="s">
        <v>610</v>
      </c>
      <c r="I5" s="154" t="s">
        <v>5</v>
      </c>
      <c r="J5" s="154" t="s">
        <v>611</v>
      </c>
      <c r="K5" s="154" t="s">
        <v>6</v>
      </c>
      <c r="L5" s="154" t="s">
        <v>612</v>
      </c>
    </row>
    <row r="6" spans="1:12" x14ac:dyDescent="0.25">
      <c r="A6" s="160">
        <v>628242510257</v>
      </c>
      <c r="B6" s="152" t="s">
        <v>142</v>
      </c>
      <c r="C6" s="151" t="s">
        <v>613</v>
      </c>
      <c r="D6" s="151" t="s">
        <v>358</v>
      </c>
      <c r="E6" s="151" t="s">
        <v>614</v>
      </c>
      <c r="F6" s="151" t="s">
        <v>615</v>
      </c>
      <c r="G6" s="151" t="s">
        <v>616</v>
      </c>
      <c r="H6" s="151" t="s">
        <v>617</v>
      </c>
      <c r="I6" s="151" t="s">
        <v>618</v>
      </c>
      <c r="J6" s="151" t="s">
        <v>619</v>
      </c>
      <c r="K6" s="150">
        <v>38</v>
      </c>
      <c r="L6" s="151"/>
    </row>
    <row r="7" spans="1:12" x14ac:dyDescent="0.25">
      <c r="A7" s="159">
        <v>628242510509</v>
      </c>
      <c r="B7" s="148" t="s">
        <v>142</v>
      </c>
      <c r="C7" s="147" t="s">
        <v>620</v>
      </c>
      <c r="D7" s="147" t="s">
        <v>358</v>
      </c>
      <c r="E7" s="147" t="s">
        <v>621</v>
      </c>
      <c r="F7" s="147" t="s">
        <v>284</v>
      </c>
      <c r="G7" s="147" t="s">
        <v>617</v>
      </c>
      <c r="H7" s="147" t="s">
        <v>616</v>
      </c>
      <c r="I7" s="147" t="s">
        <v>618</v>
      </c>
      <c r="J7" s="147" t="s">
        <v>619</v>
      </c>
      <c r="K7" s="146">
        <v>20.100000000000001</v>
      </c>
      <c r="L7" s="151"/>
    </row>
    <row r="8" spans="1:12" x14ac:dyDescent="0.25">
      <c r="A8" s="159">
        <v>628242701426</v>
      </c>
      <c r="B8" s="148" t="s">
        <v>142</v>
      </c>
      <c r="C8" s="147" t="s">
        <v>622</v>
      </c>
      <c r="D8" s="147" t="s">
        <v>358</v>
      </c>
      <c r="E8" s="147" t="s">
        <v>404</v>
      </c>
      <c r="F8" s="147" t="s">
        <v>87</v>
      </c>
      <c r="G8" s="147" t="s">
        <v>87</v>
      </c>
      <c r="H8" s="147" t="s">
        <v>87</v>
      </c>
      <c r="I8" s="147" t="s">
        <v>618</v>
      </c>
      <c r="J8" s="147" t="s">
        <v>619</v>
      </c>
      <c r="K8" s="146">
        <v>59.8</v>
      </c>
      <c r="L8" s="151"/>
    </row>
    <row r="9" spans="1:12" x14ac:dyDescent="0.25">
      <c r="A9" s="159">
        <v>628242701525</v>
      </c>
      <c r="B9" s="148" t="s">
        <v>142</v>
      </c>
      <c r="C9" s="147" t="s">
        <v>623</v>
      </c>
      <c r="D9" s="147" t="s">
        <v>358</v>
      </c>
      <c r="E9" s="147" t="s">
        <v>404</v>
      </c>
      <c r="F9" s="147" t="s">
        <v>87</v>
      </c>
      <c r="G9" s="147" t="s">
        <v>87</v>
      </c>
      <c r="H9" s="147" t="s">
        <v>87</v>
      </c>
      <c r="I9" s="147" t="s">
        <v>618</v>
      </c>
      <c r="J9" s="147" t="s">
        <v>619</v>
      </c>
      <c r="K9" s="146">
        <v>29.9</v>
      </c>
      <c r="L9" s="151"/>
    </row>
    <row r="10" spans="1:12" x14ac:dyDescent="0.25">
      <c r="A10" s="160">
        <v>628451574040</v>
      </c>
      <c r="B10" s="152" t="s">
        <v>142</v>
      </c>
      <c r="C10" s="151" t="s">
        <v>26</v>
      </c>
      <c r="D10" s="151" t="s">
        <v>358</v>
      </c>
      <c r="E10" s="151" t="s">
        <v>624</v>
      </c>
      <c r="F10" s="151" t="s">
        <v>87</v>
      </c>
      <c r="G10" s="151" t="s">
        <v>87</v>
      </c>
      <c r="H10" s="151" t="s">
        <v>87</v>
      </c>
      <c r="I10" s="151" t="s">
        <v>618</v>
      </c>
      <c r="J10" s="151" t="s">
        <v>619</v>
      </c>
      <c r="K10" s="150">
        <v>44.9</v>
      </c>
      <c r="L10" s="151"/>
    </row>
    <row r="11" spans="1:12" x14ac:dyDescent="0.25">
      <c r="A11" s="159">
        <v>628451574224</v>
      </c>
      <c r="B11" s="148" t="s">
        <v>142</v>
      </c>
      <c r="C11" s="147" t="s">
        <v>625</v>
      </c>
      <c r="D11" s="147" t="s">
        <v>358</v>
      </c>
      <c r="E11" s="147" t="s">
        <v>624</v>
      </c>
      <c r="F11" s="147" t="s">
        <v>284</v>
      </c>
      <c r="G11" s="147" t="s">
        <v>616</v>
      </c>
      <c r="H11" s="147" t="s">
        <v>617</v>
      </c>
      <c r="I11" s="147" t="s">
        <v>618</v>
      </c>
      <c r="J11" s="147" t="s">
        <v>619</v>
      </c>
      <c r="K11" s="146">
        <v>37.9</v>
      </c>
      <c r="L11" s="151"/>
    </row>
    <row r="12" spans="1:12" x14ac:dyDescent="0.25">
      <c r="A12" s="160">
        <v>628451574248</v>
      </c>
      <c r="B12" s="152" t="s">
        <v>142</v>
      </c>
      <c r="C12" s="151" t="s">
        <v>626</v>
      </c>
      <c r="D12" s="151" t="s">
        <v>358</v>
      </c>
      <c r="E12" s="151" t="s">
        <v>624</v>
      </c>
      <c r="F12" s="151" t="s">
        <v>284</v>
      </c>
      <c r="G12" s="151" t="s">
        <v>616</v>
      </c>
      <c r="H12" s="151" t="s">
        <v>617</v>
      </c>
      <c r="I12" s="151" t="s">
        <v>618</v>
      </c>
      <c r="J12" s="151" t="s">
        <v>619</v>
      </c>
      <c r="K12" s="150">
        <v>44.9</v>
      </c>
      <c r="L12" s="151"/>
    </row>
    <row r="13" spans="1:12" x14ac:dyDescent="0.25">
      <c r="A13" s="160">
        <v>628639000859</v>
      </c>
      <c r="B13" s="152" t="s">
        <v>135</v>
      </c>
      <c r="C13" s="151" t="s">
        <v>627</v>
      </c>
      <c r="D13" s="151" t="s">
        <v>358</v>
      </c>
      <c r="E13" s="151" t="s">
        <v>628</v>
      </c>
      <c r="F13" s="151" t="s">
        <v>87</v>
      </c>
      <c r="G13" s="151" t="s">
        <v>87</v>
      </c>
      <c r="H13" s="151" t="s">
        <v>87</v>
      </c>
      <c r="I13" s="151" t="s">
        <v>618</v>
      </c>
      <c r="J13" s="151" t="s">
        <v>619</v>
      </c>
      <c r="K13" s="150">
        <v>34.5</v>
      </c>
      <c r="L13" s="151"/>
    </row>
    <row r="14" spans="1:12" x14ac:dyDescent="0.25">
      <c r="A14" s="159">
        <v>628639000866</v>
      </c>
      <c r="B14" s="148" t="s">
        <v>135</v>
      </c>
      <c r="C14" s="147" t="s">
        <v>15</v>
      </c>
      <c r="D14" s="147" t="s">
        <v>358</v>
      </c>
      <c r="E14" s="147" t="s">
        <v>628</v>
      </c>
      <c r="F14" s="147" t="s">
        <v>87</v>
      </c>
      <c r="G14" s="147" t="s">
        <v>87</v>
      </c>
      <c r="H14" s="147" t="s">
        <v>87</v>
      </c>
      <c r="I14" s="147" t="s">
        <v>618</v>
      </c>
      <c r="J14" s="147" t="s">
        <v>619</v>
      </c>
      <c r="K14" s="146">
        <v>59.9</v>
      </c>
      <c r="L14" s="151"/>
    </row>
    <row r="15" spans="1:12" x14ac:dyDescent="0.25">
      <c r="A15" s="160">
        <v>628639000873</v>
      </c>
      <c r="B15" s="152" t="s">
        <v>135</v>
      </c>
      <c r="C15" s="151" t="s">
        <v>14</v>
      </c>
      <c r="D15" s="151" t="s">
        <v>358</v>
      </c>
      <c r="E15" s="151" t="s">
        <v>628</v>
      </c>
      <c r="F15" s="151" t="s">
        <v>87</v>
      </c>
      <c r="G15" s="151" t="s">
        <v>87</v>
      </c>
      <c r="H15" s="151" t="s">
        <v>87</v>
      </c>
      <c r="I15" s="151" t="s">
        <v>618</v>
      </c>
      <c r="J15" s="151" t="s">
        <v>619</v>
      </c>
      <c r="K15" s="150">
        <v>41.1</v>
      </c>
      <c r="L15" s="151"/>
    </row>
    <row r="16" spans="1:12" x14ac:dyDescent="0.25">
      <c r="A16" s="159">
        <v>629108209148</v>
      </c>
      <c r="B16" s="148" t="s">
        <v>142</v>
      </c>
      <c r="C16" s="147" t="s">
        <v>629</v>
      </c>
      <c r="D16" s="147" t="s">
        <v>358</v>
      </c>
      <c r="E16" s="147" t="s">
        <v>458</v>
      </c>
      <c r="F16" s="147" t="s">
        <v>87</v>
      </c>
      <c r="G16" s="147" t="s">
        <v>87</v>
      </c>
      <c r="H16" s="147" t="s">
        <v>87</v>
      </c>
      <c r="I16" s="147" t="s">
        <v>618</v>
      </c>
      <c r="J16" s="147" t="s">
        <v>619</v>
      </c>
      <c r="K16" s="146">
        <v>34.9</v>
      </c>
      <c r="L16" s="151"/>
    </row>
    <row r="17" spans="1:12" x14ac:dyDescent="0.25">
      <c r="A17" s="159">
        <v>629108211141</v>
      </c>
      <c r="B17" s="148" t="s">
        <v>142</v>
      </c>
      <c r="C17" s="147" t="s">
        <v>630</v>
      </c>
      <c r="D17" s="147" t="s">
        <v>358</v>
      </c>
      <c r="E17" s="147" t="s">
        <v>458</v>
      </c>
      <c r="F17" s="147" t="s">
        <v>87</v>
      </c>
      <c r="G17" s="147" t="s">
        <v>87</v>
      </c>
      <c r="H17" s="147" t="s">
        <v>87</v>
      </c>
      <c r="I17" s="147" t="s">
        <v>618</v>
      </c>
      <c r="J17" s="147" t="s">
        <v>619</v>
      </c>
      <c r="K17" s="146">
        <v>29.9</v>
      </c>
      <c r="L17" s="151"/>
    </row>
    <row r="18" spans="1:12" x14ac:dyDescent="0.25">
      <c r="A18" s="159">
        <v>629108212148</v>
      </c>
      <c r="B18" s="148" t="s">
        <v>135</v>
      </c>
      <c r="C18" s="147" t="s">
        <v>631</v>
      </c>
      <c r="D18" s="147" t="s">
        <v>358</v>
      </c>
      <c r="E18" s="147" t="s">
        <v>458</v>
      </c>
      <c r="F18" s="147" t="s">
        <v>87</v>
      </c>
      <c r="G18" s="147" t="s">
        <v>87</v>
      </c>
      <c r="H18" s="147" t="s">
        <v>87</v>
      </c>
      <c r="I18" s="147" t="s">
        <v>618</v>
      </c>
      <c r="J18" s="147" t="s">
        <v>619</v>
      </c>
      <c r="K18" s="146">
        <v>29.9</v>
      </c>
      <c r="L18" s="151"/>
    </row>
    <row r="19" spans="1:12" x14ac:dyDescent="0.25">
      <c r="A19" s="159">
        <v>629108213145</v>
      </c>
      <c r="B19" s="148" t="s">
        <v>137</v>
      </c>
      <c r="C19" s="147" t="s">
        <v>632</v>
      </c>
      <c r="D19" s="147" t="s">
        <v>358</v>
      </c>
      <c r="E19" s="147" t="s">
        <v>458</v>
      </c>
      <c r="F19" s="147" t="s">
        <v>87</v>
      </c>
      <c r="G19" s="147" t="s">
        <v>87</v>
      </c>
      <c r="H19" s="147" t="s">
        <v>87</v>
      </c>
      <c r="I19" s="147" t="s">
        <v>618</v>
      </c>
      <c r="J19" s="147" t="s">
        <v>619</v>
      </c>
      <c r="K19" s="146">
        <v>29.9</v>
      </c>
      <c r="L19" s="151"/>
    </row>
    <row r="20" spans="1:12" x14ac:dyDescent="0.25">
      <c r="A20" s="159">
        <v>694144000424</v>
      </c>
      <c r="B20" s="148" t="s">
        <v>142</v>
      </c>
      <c r="C20" s="147" t="s">
        <v>633</v>
      </c>
      <c r="D20" s="147" t="s">
        <v>358</v>
      </c>
      <c r="E20" s="147" t="s">
        <v>583</v>
      </c>
      <c r="F20" s="147" t="s">
        <v>87</v>
      </c>
      <c r="G20" s="147" t="s">
        <v>87</v>
      </c>
      <c r="H20" s="147" t="s">
        <v>87</v>
      </c>
      <c r="I20" s="147" t="s">
        <v>618</v>
      </c>
      <c r="J20" s="147" t="s">
        <v>619</v>
      </c>
      <c r="K20" s="146">
        <v>22.2</v>
      </c>
      <c r="L20" s="151"/>
    </row>
    <row r="21" spans="1:12" x14ac:dyDescent="0.25">
      <c r="A21" s="159">
        <v>694144000431</v>
      </c>
      <c r="B21" s="148" t="s">
        <v>142</v>
      </c>
      <c r="C21" s="147" t="s">
        <v>21</v>
      </c>
      <c r="D21" s="147" t="s">
        <v>358</v>
      </c>
      <c r="E21" s="147" t="s">
        <v>583</v>
      </c>
      <c r="F21" s="147" t="s">
        <v>87</v>
      </c>
      <c r="G21" s="147" t="s">
        <v>87</v>
      </c>
      <c r="H21" s="147" t="s">
        <v>87</v>
      </c>
      <c r="I21" s="147" t="s">
        <v>618</v>
      </c>
      <c r="J21" s="147" t="s">
        <v>619</v>
      </c>
      <c r="K21" s="146">
        <v>22.2</v>
      </c>
      <c r="L21" s="151"/>
    </row>
    <row r="22" spans="1:12" x14ac:dyDescent="0.25">
      <c r="A22" s="160">
        <v>694144000448</v>
      </c>
      <c r="B22" s="152" t="s">
        <v>142</v>
      </c>
      <c r="C22" s="151" t="s">
        <v>27</v>
      </c>
      <c r="D22" s="151" t="s">
        <v>358</v>
      </c>
      <c r="E22" s="151" t="s">
        <v>583</v>
      </c>
      <c r="F22" s="151" t="s">
        <v>87</v>
      </c>
      <c r="G22" s="151" t="s">
        <v>87</v>
      </c>
      <c r="H22" s="151" t="s">
        <v>87</v>
      </c>
      <c r="I22" s="151" t="s">
        <v>618</v>
      </c>
      <c r="J22" s="151" t="s">
        <v>619</v>
      </c>
      <c r="K22" s="150">
        <v>22.2</v>
      </c>
      <c r="L22" s="151"/>
    </row>
    <row r="23" spans="1:12" x14ac:dyDescent="0.25">
      <c r="A23" s="159">
        <v>694144009694</v>
      </c>
      <c r="B23" s="148" t="s">
        <v>142</v>
      </c>
      <c r="C23" s="147" t="s">
        <v>16</v>
      </c>
      <c r="D23" s="147" t="s">
        <v>358</v>
      </c>
      <c r="E23" s="147" t="s">
        <v>220</v>
      </c>
      <c r="F23" s="147" t="s">
        <v>87</v>
      </c>
      <c r="G23" s="147" t="s">
        <v>87</v>
      </c>
      <c r="H23" s="147" t="s">
        <v>87</v>
      </c>
      <c r="I23" s="147" t="s">
        <v>618</v>
      </c>
      <c r="J23" s="147" t="s">
        <v>619</v>
      </c>
      <c r="K23" s="146">
        <v>50.2</v>
      </c>
      <c r="L23" s="151"/>
    </row>
    <row r="24" spans="1:12" x14ac:dyDescent="0.25">
      <c r="A24" s="160">
        <v>694144009991</v>
      </c>
      <c r="B24" s="152" t="s">
        <v>142</v>
      </c>
      <c r="C24" s="151" t="s">
        <v>634</v>
      </c>
      <c r="D24" s="151" t="s">
        <v>358</v>
      </c>
      <c r="E24" s="151" t="s">
        <v>583</v>
      </c>
      <c r="F24" s="151" t="s">
        <v>87</v>
      </c>
      <c r="G24" s="151" t="s">
        <v>87</v>
      </c>
      <c r="H24" s="151" t="s">
        <v>87</v>
      </c>
      <c r="I24" s="151" t="s">
        <v>618</v>
      </c>
      <c r="J24" s="151" t="s">
        <v>619</v>
      </c>
      <c r="K24" s="150">
        <v>50.2</v>
      </c>
      <c r="L24" s="151"/>
    </row>
    <row r="25" spans="1:12" x14ac:dyDescent="0.25">
      <c r="A25" s="159">
        <v>694144010010</v>
      </c>
      <c r="B25" s="148" t="s">
        <v>142</v>
      </c>
      <c r="C25" s="147" t="s">
        <v>635</v>
      </c>
      <c r="D25" s="147" t="s">
        <v>358</v>
      </c>
      <c r="E25" s="147" t="s">
        <v>583</v>
      </c>
      <c r="F25" s="147" t="s">
        <v>87</v>
      </c>
      <c r="G25" s="147" t="s">
        <v>87</v>
      </c>
      <c r="H25" s="147" t="s">
        <v>87</v>
      </c>
      <c r="I25" s="147" t="s">
        <v>618</v>
      </c>
      <c r="J25" s="147" t="s">
        <v>619</v>
      </c>
      <c r="K25" s="146">
        <v>55</v>
      </c>
      <c r="L25" s="151"/>
    </row>
    <row r="26" spans="1:12" x14ac:dyDescent="0.25">
      <c r="A26" s="160">
        <v>697238116049</v>
      </c>
      <c r="B26" s="152" t="s">
        <v>142</v>
      </c>
      <c r="C26" s="151" t="s">
        <v>636</v>
      </c>
      <c r="D26" s="151" t="s">
        <v>358</v>
      </c>
      <c r="E26" s="151" t="s">
        <v>468</v>
      </c>
      <c r="F26" s="151" t="s">
        <v>87</v>
      </c>
      <c r="G26" s="151" t="s">
        <v>87</v>
      </c>
      <c r="H26" s="151" t="s">
        <v>87</v>
      </c>
      <c r="I26" s="151" t="s">
        <v>637</v>
      </c>
      <c r="J26" s="151" t="s">
        <v>619</v>
      </c>
      <c r="K26" s="150">
        <v>70</v>
      </c>
      <c r="L26" s="151"/>
    </row>
    <row r="27" spans="1:12" x14ac:dyDescent="0.25">
      <c r="A27" s="160">
        <v>814559000011</v>
      </c>
      <c r="B27" s="152" t="s">
        <v>135</v>
      </c>
      <c r="C27" s="151" t="s">
        <v>13</v>
      </c>
      <c r="D27" s="151" t="s">
        <v>358</v>
      </c>
      <c r="E27" s="151" t="s">
        <v>557</v>
      </c>
      <c r="F27" s="151" t="s">
        <v>87</v>
      </c>
      <c r="G27" s="151" t="s">
        <v>87</v>
      </c>
      <c r="H27" s="151" t="s">
        <v>87</v>
      </c>
      <c r="I27" s="151" t="s">
        <v>618</v>
      </c>
      <c r="J27" s="151" t="s">
        <v>619</v>
      </c>
      <c r="K27" s="150">
        <v>39</v>
      </c>
      <c r="L27" s="151"/>
    </row>
    <row r="28" spans="1:12" x14ac:dyDescent="0.25">
      <c r="A28" s="160">
        <v>814559000028</v>
      </c>
      <c r="B28" s="152" t="s">
        <v>142</v>
      </c>
      <c r="C28" s="151" t="s">
        <v>22</v>
      </c>
      <c r="D28" s="151" t="s">
        <v>358</v>
      </c>
      <c r="E28" s="151" t="s">
        <v>557</v>
      </c>
      <c r="F28" s="151" t="s">
        <v>87</v>
      </c>
      <c r="G28" s="151" t="s">
        <v>87</v>
      </c>
      <c r="H28" s="151" t="s">
        <v>87</v>
      </c>
      <c r="I28" s="151" t="s">
        <v>618</v>
      </c>
      <c r="J28" s="151" t="s">
        <v>619</v>
      </c>
      <c r="K28" s="150">
        <v>49</v>
      </c>
      <c r="L28" s="151"/>
    </row>
    <row r="29" spans="1:12" x14ac:dyDescent="0.25">
      <c r="A29" s="159">
        <v>814559000066</v>
      </c>
      <c r="B29" s="148" t="s">
        <v>137</v>
      </c>
      <c r="C29" s="147" t="s">
        <v>638</v>
      </c>
      <c r="D29" s="147" t="s">
        <v>358</v>
      </c>
      <c r="E29" s="147" t="s">
        <v>557</v>
      </c>
      <c r="F29" s="147" t="s">
        <v>87</v>
      </c>
      <c r="G29" s="147" t="s">
        <v>87</v>
      </c>
      <c r="H29" s="147" t="s">
        <v>87</v>
      </c>
      <c r="I29" s="147" t="s">
        <v>618</v>
      </c>
      <c r="J29" s="147" t="s">
        <v>619</v>
      </c>
      <c r="K29" s="146">
        <v>36</v>
      </c>
      <c r="L29" s="151"/>
    </row>
    <row r="30" spans="1:12" x14ac:dyDescent="0.25">
      <c r="A30" s="160">
        <v>826966011542</v>
      </c>
      <c r="B30" s="152" t="s">
        <v>142</v>
      </c>
      <c r="C30" s="151" t="s">
        <v>19</v>
      </c>
      <c r="D30" s="151" t="s">
        <v>358</v>
      </c>
      <c r="E30" s="151" t="s">
        <v>283</v>
      </c>
      <c r="F30" s="151" t="s">
        <v>87</v>
      </c>
      <c r="G30" s="151" t="s">
        <v>87</v>
      </c>
      <c r="H30" s="151" t="s">
        <v>87</v>
      </c>
      <c r="I30" s="151" t="s">
        <v>639</v>
      </c>
      <c r="J30" s="151" t="s">
        <v>619</v>
      </c>
      <c r="K30" s="150">
        <v>32.9</v>
      </c>
      <c r="L30" s="151"/>
    </row>
    <row r="31" spans="1:12" x14ac:dyDescent="0.25">
      <c r="A31" s="159">
        <v>827763001903</v>
      </c>
      <c r="B31" s="148" t="s">
        <v>137</v>
      </c>
      <c r="C31" s="147" t="s">
        <v>640</v>
      </c>
      <c r="D31" s="147" t="s">
        <v>641</v>
      </c>
      <c r="E31" s="147" t="s">
        <v>642</v>
      </c>
      <c r="F31" s="147" t="s">
        <v>615</v>
      </c>
      <c r="G31" s="147" t="s">
        <v>87</v>
      </c>
      <c r="H31" s="147" t="s">
        <v>87</v>
      </c>
      <c r="I31" s="147" t="s">
        <v>618</v>
      </c>
      <c r="J31" s="147" t="s">
        <v>619</v>
      </c>
      <c r="K31" s="146">
        <v>41.9</v>
      </c>
      <c r="L31" s="151"/>
    </row>
    <row r="32" spans="1:12" x14ac:dyDescent="0.25">
      <c r="A32" s="160">
        <v>841226000067</v>
      </c>
      <c r="B32" s="152" t="s">
        <v>137</v>
      </c>
      <c r="C32" s="151" t="s">
        <v>643</v>
      </c>
      <c r="D32" s="151" t="s">
        <v>644</v>
      </c>
      <c r="E32" s="151" t="s">
        <v>645</v>
      </c>
      <c r="F32" s="151" t="s">
        <v>269</v>
      </c>
      <c r="G32" s="151" t="s">
        <v>87</v>
      </c>
      <c r="H32" s="151" t="s">
        <v>87</v>
      </c>
      <c r="I32" s="151" t="s">
        <v>639</v>
      </c>
      <c r="J32" s="151" t="s">
        <v>619</v>
      </c>
      <c r="K32" s="150">
        <v>29.6</v>
      </c>
      <c r="L32" s="151"/>
    </row>
    <row r="33" spans="1:12" x14ac:dyDescent="0.25">
      <c r="A33" s="160">
        <v>847023001160</v>
      </c>
      <c r="B33" s="152" t="s">
        <v>137</v>
      </c>
      <c r="C33" s="151" t="s">
        <v>646</v>
      </c>
      <c r="D33" s="151" t="s">
        <v>647</v>
      </c>
      <c r="E33" s="151" t="s">
        <v>648</v>
      </c>
      <c r="F33" s="151" t="s">
        <v>87</v>
      </c>
      <c r="G33" s="151" t="s">
        <v>87</v>
      </c>
      <c r="H33" s="151" t="s">
        <v>87</v>
      </c>
      <c r="I33" s="151" t="s">
        <v>639</v>
      </c>
      <c r="J33" s="151" t="s">
        <v>619</v>
      </c>
      <c r="K33" s="150">
        <v>30</v>
      </c>
      <c r="L33" s="151"/>
    </row>
    <row r="34" spans="1:12" x14ac:dyDescent="0.25">
      <c r="A34" s="160">
        <v>850119000008</v>
      </c>
      <c r="B34" s="152" t="s">
        <v>142</v>
      </c>
      <c r="C34" s="151" t="s">
        <v>22</v>
      </c>
      <c r="D34" s="151" t="s">
        <v>649</v>
      </c>
      <c r="E34" s="151" t="s">
        <v>650</v>
      </c>
      <c r="F34" s="151" t="s">
        <v>87</v>
      </c>
      <c r="G34" s="151" t="s">
        <v>87</v>
      </c>
      <c r="H34" s="151" t="s">
        <v>87</v>
      </c>
      <c r="I34" s="151" t="s">
        <v>618</v>
      </c>
      <c r="J34" s="151" t="s">
        <v>619</v>
      </c>
      <c r="K34" s="150">
        <v>44</v>
      </c>
      <c r="L34" s="151"/>
    </row>
    <row r="35" spans="1:12" x14ac:dyDescent="0.25">
      <c r="A35" s="160">
        <v>850119000510</v>
      </c>
      <c r="B35" s="152" t="s">
        <v>142</v>
      </c>
      <c r="C35" s="151" t="s">
        <v>25</v>
      </c>
      <c r="D35" s="151" t="s">
        <v>649</v>
      </c>
      <c r="E35" s="151" t="s">
        <v>650</v>
      </c>
      <c r="F35" s="151" t="s">
        <v>87</v>
      </c>
      <c r="G35" s="151" t="s">
        <v>87</v>
      </c>
      <c r="H35" s="151" t="s">
        <v>87</v>
      </c>
      <c r="I35" s="151" t="s">
        <v>651</v>
      </c>
      <c r="J35" s="151" t="s">
        <v>619</v>
      </c>
      <c r="K35" s="150">
        <v>19.899999999999999</v>
      </c>
      <c r="L35" s="151"/>
    </row>
    <row r="36" spans="1:12" x14ac:dyDescent="0.25">
      <c r="A36" s="160">
        <v>870814007515</v>
      </c>
      <c r="B36" s="152" t="s">
        <v>142</v>
      </c>
      <c r="C36" s="151" t="s">
        <v>623</v>
      </c>
      <c r="D36" s="151" t="s">
        <v>358</v>
      </c>
      <c r="E36" s="151" t="s">
        <v>570</v>
      </c>
      <c r="F36" s="151" t="s">
        <v>87</v>
      </c>
      <c r="G36" s="151" t="s">
        <v>87</v>
      </c>
      <c r="H36" s="151" t="s">
        <v>87</v>
      </c>
      <c r="I36" s="151" t="s">
        <v>618</v>
      </c>
      <c r="J36" s="151" t="s">
        <v>619</v>
      </c>
      <c r="K36" s="150">
        <v>44.9</v>
      </c>
      <c r="L36" s="151"/>
    </row>
    <row r="37" spans="1:12" x14ac:dyDescent="0.25">
      <c r="A37" s="160">
        <v>870814007522</v>
      </c>
      <c r="B37" s="152" t="s">
        <v>142</v>
      </c>
      <c r="C37" s="151" t="s">
        <v>652</v>
      </c>
      <c r="D37" s="151" t="s">
        <v>358</v>
      </c>
      <c r="E37" s="151" t="s">
        <v>570</v>
      </c>
      <c r="F37" s="151" t="s">
        <v>284</v>
      </c>
      <c r="G37" s="151" t="s">
        <v>87</v>
      </c>
      <c r="H37" s="151" t="s">
        <v>87</v>
      </c>
      <c r="I37" s="151" t="s">
        <v>618</v>
      </c>
      <c r="J37" s="151" t="s">
        <v>619</v>
      </c>
      <c r="K37" s="150">
        <v>41.9</v>
      </c>
      <c r="L37" s="151"/>
    </row>
    <row r="38" spans="1:12" x14ac:dyDescent="0.25">
      <c r="A38" s="160">
        <v>870814008222</v>
      </c>
      <c r="B38" s="152" t="s">
        <v>142</v>
      </c>
      <c r="C38" s="151" t="s">
        <v>18</v>
      </c>
      <c r="D38" s="151" t="s">
        <v>358</v>
      </c>
      <c r="E38" s="151" t="s">
        <v>570</v>
      </c>
      <c r="F38" s="151" t="s">
        <v>284</v>
      </c>
      <c r="G38" s="151" t="s">
        <v>87</v>
      </c>
      <c r="H38" s="151" t="s">
        <v>87</v>
      </c>
      <c r="I38" s="151" t="s">
        <v>618</v>
      </c>
      <c r="J38" s="151" t="s">
        <v>619</v>
      </c>
      <c r="K38" s="150">
        <v>24.9</v>
      </c>
      <c r="L38" s="151"/>
    </row>
    <row r="39" spans="1:12" x14ac:dyDescent="0.25">
      <c r="A39" s="159">
        <v>875429000074</v>
      </c>
      <c r="B39" s="148" t="s">
        <v>142</v>
      </c>
      <c r="C39" s="147" t="s">
        <v>653</v>
      </c>
      <c r="D39" s="147" t="s">
        <v>358</v>
      </c>
      <c r="E39" s="147" t="s">
        <v>378</v>
      </c>
      <c r="F39" s="147" t="s">
        <v>87</v>
      </c>
      <c r="G39" s="147" t="s">
        <v>87</v>
      </c>
      <c r="H39" s="147" t="s">
        <v>87</v>
      </c>
      <c r="I39" s="147" t="s">
        <v>618</v>
      </c>
      <c r="J39" s="147" t="s">
        <v>619</v>
      </c>
      <c r="K39" s="146">
        <v>39</v>
      </c>
      <c r="L39" s="151"/>
    </row>
    <row r="40" spans="1:12" x14ac:dyDescent="0.25">
      <c r="A40" s="159">
        <v>875429000081</v>
      </c>
      <c r="B40" s="148" t="s">
        <v>142</v>
      </c>
      <c r="C40" s="147" t="s">
        <v>622</v>
      </c>
      <c r="D40" s="147" t="s">
        <v>358</v>
      </c>
      <c r="E40" s="147" t="s">
        <v>378</v>
      </c>
      <c r="F40" s="147" t="s">
        <v>87</v>
      </c>
      <c r="G40" s="147" t="s">
        <v>87</v>
      </c>
      <c r="H40" s="147" t="s">
        <v>87</v>
      </c>
      <c r="I40" s="147" t="s">
        <v>618</v>
      </c>
      <c r="J40" s="147" t="s">
        <v>619</v>
      </c>
      <c r="K40" s="146">
        <v>37.5</v>
      </c>
      <c r="L40" s="151"/>
    </row>
    <row r="41" spans="1:12" ht="15.75" thickBot="1" x14ac:dyDescent="0.3"/>
    <row r="42" spans="1:12" x14ac:dyDescent="0.25">
      <c r="A42" s="645" t="s">
        <v>654</v>
      </c>
      <c r="B42" s="646"/>
      <c r="C42" s="646"/>
      <c r="D42" s="646"/>
      <c r="E42" s="646"/>
      <c r="F42" s="646"/>
      <c r="G42" s="646"/>
      <c r="H42" s="646"/>
      <c r="I42" s="646"/>
      <c r="J42" s="646"/>
      <c r="K42" s="646"/>
      <c r="L42" s="647"/>
    </row>
    <row r="43" spans="1:12" ht="15.75" thickBot="1" x14ac:dyDescent="0.3">
      <c r="A43" s="648"/>
      <c r="B43" s="649"/>
      <c r="C43" s="649"/>
      <c r="D43" s="649"/>
      <c r="E43" s="649"/>
      <c r="F43" s="649"/>
      <c r="G43" s="649"/>
      <c r="H43" s="649"/>
      <c r="I43" s="649"/>
      <c r="J43" s="649"/>
      <c r="K43" s="649"/>
      <c r="L43" s="650"/>
    </row>
    <row r="45" spans="1:12" x14ac:dyDescent="0.25">
      <c r="A45" s="156" t="s">
        <v>251</v>
      </c>
      <c r="B45" s="155" t="s">
        <v>253</v>
      </c>
      <c r="C45" s="154" t="s">
        <v>250</v>
      </c>
      <c r="D45" s="154" t="s">
        <v>255</v>
      </c>
      <c r="E45" s="154" t="s">
        <v>4</v>
      </c>
      <c r="F45" s="154" t="s">
        <v>256</v>
      </c>
      <c r="G45" s="154" t="s">
        <v>609</v>
      </c>
      <c r="H45" s="154" t="s">
        <v>610</v>
      </c>
      <c r="I45" s="154" t="s">
        <v>5</v>
      </c>
      <c r="J45" s="154" t="s">
        <v>611</v>
      </c>
      <c r="K45" s="154" t="s">
        <v>6</v>
      </c>
    </row>
    <row r="46" spans="1:12" x14ac:dyDescent="0.25">
      <c r="A46" s="160">
        <v>627560050001</v>
      </c>
      <c r="B46" s="152" t="s">
        <v>142</v>
      </c>
      <c r="C46" s="151" t="s">
        <v>655</v>
      </c>
      <c r="D46" s="151" t="s">
        <v>358</v>
      </c>
      <c r="E46" s="151" t="s">
        <v>656</v>
      </c>
      <c r="F46" s="151" t="s">
        <v>87</v>
      </c>
      <c r="G46" s="151" t="s">
        <v>87</v>
      </c>
      <c r="H46" s="151" t="s">
        <v>87</v>
      </c>
      <c r="I46" s="151" t="s">
        <v>637</v>
      </c>
      <c r="J46" s="151" t="s">
        <v>657</v>
      </c>
      <c r="K46" s="150">
        <v>29</v>
      </c>
    </row>
    <row r="47" spans="1:12" x14ac:dyDescent="0.25">
      <c r="A47" s="160">
        <v>627560050100</v>
      </c>
      <c r="B47" s="152" t="s">
        <v>142</v>
      </c>
      <c r="C47" s="151" t="s">
        <v>49</v>
      </c>
      <c r="D47" s="151" t="s">
        <v>358</v>
      </c>
      <c r="E47" s="151" t="s">
        <v>656</v>
      </c>
      <c r="F47" s="151" t="s">
        <v>87</v>
      </c>
      <c r="G47" s="151" t="s">
        <v>87</v>
      </c>
      <c r="H47" s="151" t="s">
        <v>87</v>
      </c>
      <c r="I47" s="151" t="s">
        <v>637</v>
      </c>
      <c r="J47" s="151" t="s">
        <v>657</v>
      </c>
      <c r="K47" s="150">
        <v>26.8</v>
      </c>
    </row>
    <row r="48" spans="1:12" x14ac:dyDescent="0.25">
      <c r="A48" s="160">
        <v>688083002465</v>
      </c>
      <c r="B48" s="152" t="s">
        <v>142</v>
      </c>
      <c r="C48" s="151" t="s">
        <v>658</v>
      </c>
      <c r="D48" s="151" t="s">
        <v>358</v>
      </c>
      <c r="E48" s="151" t="s">
        <v>488</v>
      </c>
      <c r="F48" s="151" t="s">
        <v>269</v>
      </c>
      <c r="G48" s="151" t="s">
        <v>87</v>
      </c>
      <c r="H48" s="151" t="s">
        <v>87</v>
      </c>
      <c r="I48" s="151" t="s">
        <v>639</v>
      </c>
      <c r="J48" s="151" t="s">
        <v>657</v>
      </c>
      <c r="K48" s="150">
        <v>35</v>
      </c>
    </row>
    <row r="49" spans="1:12" x14ac:dyDescent="0.25">
      <c r="A49" s="160">
        <v>688083002472</v>
      </c>
      <c r="B49" s="152" t="s">
        <v>135</v>
      </c>
      <c r="C49" s="151" t="s">
        <v>42</v>
      </c>
      <c r="D49" s="151" t="s">
        <v>358</v>
      </c>
      <c r="E49" s="151" t="s">
        <v>488</v>
      </c>
      <c r="F49" s="151" t="s">
        <v>269</v>
      </c>
      <c r="G49" s="151" t="s">
        <v>87</v>
      </c>
      <c r="H49" s="151" t="s">
        <v>87</v>
      </c>
      <c r="I49" s="151" t="s">
        <v>639</v>
      </c>
      <c r="J49" s="151" t="s">
        <v>657</v>
      </c>
      <c r="K49" s="150">
        <v>35</v>
      </c>
    </row>
    <row r="50" spans="1:12" x14ac:dyDescent="0.25">
      <c r="A50" s="159">
        <v>688083002489</v>
      </c>
      <c r="B50" s="148" t="s">
        <v>137</v>
      </c>
      <c r="C50" s="147" t="s">
        <v>45</v>
      </c>
      <c r="D50" s="147" t="s">
        <v>358</v>
      </c>
      <c r="E50" s="147" t="s">
        <v>488</v>
      </c>
      <c r="F50" s="147" t="s">
        <v>269</v>
      </c>
      <c r="G50" s="147" t="s">
        <v>87</v>
      </c>
      <c r="H50" s="147" t="s">
        <v>87</v>
      </c>
      <c r="I50" s="147" t="s">
        <v>639</v>
      </c>
      <c r="J50" s="147" t="s">
        <v>657</v>
      </c>
      <c r="K50" s="146">
        <v>35</v>
      </c>
    </row>
    <row r="51" spans="1:12" x14ac:dyDescent="0.25">
      <c r="A51" s="159">
        <v>688083002687</v>
      </c>
      <c r="B51" s="148" t="s">
        <v>142</v>
      </c>
      <c r="C51" s="147" t="s">
        <v>659</v>
      </c>
      <c r="D51" s="147" t="s">
        <v>660</v>
      </c>
      <c r="E51" s="147" t="s">
        <v>271</v>
      </c>
      <c r="F51" s="147" t="s">
        <v>299</v>
      </c>
      <c r="G51" s="147" t="s">
        <v>87</v>
      </c>
      <c r="H51" s="147" t="s">
        <v>87</v>
      </c>
      <c r="I51" s="147" t="s">
        <v>639</v>
      </c>
      <c r="J51" s="147" t="s">
        <v>657</v>
      </c>
      <c r="K51" s="146">
        <v>40</v>
      </c>
    </row>
    <row r="52" spans="1:12" x14ac:dyDescent="0.25">
      <c r="A52" s="159">
        <v>688083004506</v>
      </c>
      <c r="B52" s="148" t="s">
        <v>142</v>
      </c>
      <c r="C52" s="147" t="s">
        <v>661</v>
      </c>
      <c r="D52" s="147" t="s">
        <v>358</v>
      </c>
      <c r="E52" s="147" t="s">
        <v>271</v>
      </c>
      <c r="F52" s="147" t="s">
        <v>87</v>
      </c>
      <c r="G52" s="147" t="s">
        <v>87</v>
      </c>
      <c r="H52" s="147" t="s">
        <v>87</v>
      </c>
      <c r="I52" s="147" t="s">
        <v>639</v>
      </c>
      <c r="J52" s="147" t="s">
        <v>657</v>
      </c>
      <c r="K52" s="146">
        <v>27.9</v>
      </c>
    </row>
    <row r="53" spans="1:12" x14ac:dyDescent="0.25">
      <c r="A53" s="160">
        <v>694144001834</v>
      </c>
      <c r="B53" s="152" t="s">
        <v>142</v>
      </c>
      <c r="C53" s="151" t="s">
        <v>21</v>
      </c>
      <c r="D53" s="151" t="s">
        <v>358</v>
      </c>
      <c r="E53" s="151" t="s">
        <v>583</v>
      </c>
      <c r="F53" s="151" t="s">
        <v>87</v>
      </c>
      <c r="G53" s="151" t="s">
        <v>87</v>
      </c>
      <c r="H53" s="151" t="s">
        <v>87</v>
      </c>
      <c r="I53" s="151" t="s">
        <v>637</v>
      </c>
      <c r="J53" s="151" t="s">
        <v>657</v>
      </c>
      <c r="K53" s="150">
        <v>33.9</v>
      </c>
    </row>
    <row r="54" spans="1:12" x14ac:dyDescent="0.25">
      <c r="A54" s="159">
        <v>694144001858</v>
      </c>
      <c r="B54" s="148" t="s">
        <v>142</v>
      </c>
      <c r="C54" s="147" t="s">
        <v>595</v>
      </c>
      <c r="D54" s="147" t="s">
        <v>358</v>
      </c>
      <c r="E54" s="147" t="s">
        <v>583</v>
      </c>
      <c r="F54" s="147" t="s">
        <v>87</v>
      </c>
      <c r="G54" s="147" t="s">
        <v>87</v>
      </c>
      <c r="H54" s="147" t="s">
        <v>87</v>
      </c>
      <c r="I54" s="147" t="s">
        <v>637</v>
      </c>
      <c r="J54" s="147" t="s">
        <v>657</v>
      </c>
      <c r="K54" s="146">
        <v>33.9</v>
      </c>
    </row>
    <row r="55" spans="1:12" x14ac:dyDescent="0.25">
      <c r="A55" s="159">
        <v>694144001872</v>
      </c>
      <c r="B55" s="148" t="s">
        <v>142</v>
      </c>
      <c r="C55" s="147" t="s">
        <v>27</v>
      </c>
      <c r="D55" s="147" t="s">
        <v>358</v>
      </c>
      <c r="E55" s="147" t="s">
        <v>583</v>
      </c>
      <c r="F55" s="147" t="s">
        <v>87</v>
      </c>
      <c r="G55" s="147" t="s">
        <v>87</v>
      </c>
      <c r="H55" s="147" t="s">
        <v>87</v>
      </c>
      <c r="I55" s="147" t="s">
        <v>637</v>
      </c>
      <c r="J55" s="147" t="s">
        <v>657</v>
      </c>
      <c r="K55" s="146">
        <v>33.9</v>
      </c>
    </row>
    <row r="56" spans="1:12" x14ac:dyDescent="0.25">
      <c r="A56" s="160">
        <v>694144001896</v>
      </c>
      <c r="B56" s="152" t="s">
        <v>142</v>
      </c>
      <c r="C56" s="151" t="s">
        <v>655</v>
      </c>
      <c r="D56" s="151" t="s">
        <v>358</v>
      </c>
      <c r="E56" s="151" t="s">
        <v>662</v>
      </c>
      <c r="F56" s="151" t="s">
        <v>87</v>
      </c>
      <c r="G56" s="151" t="s">
        <v>87</v>
      </c>
      <c r="H56" s="151" t="s">
        <v>87</v>
      </c>
      <c r="I56" s="151" t="s">
        <v>637</v>
      </c>
      <c r="J56" s="151" t="s">
        <v>657</v>
      </c>
      <c r="K56" s="150">
        <v>34.200000000000003</v>
      </c>
    </row>
    <row r="57" spans="1:12" x14ac:dyDescent="0.25">
      <c r="A57" s="159">
        <v>697238118012</v>
      </c>
      <c r="B57" s="148" t="s">
        <v>142</v>
      </c>
      <c r="C57" s="147" t="s">
        <v>663</v>
      </c>
      <c r="D57" s="147" t="s">
        <v>358</v>
      </c>
      <c r="E57" s="147" t="s">
        <v>656</v>
      </c>
      <c r="F57" s="147" t="s">
        <v>87</v>
      </c>
      <c r="G57" s="147" t="s">
        <v>87</v>
      </c>
      <c r="H57" s="147" t="s">
        <v>87</v>
      </c>
      <c r="I57" s="147" t="s">
        <v>664</v>
      </c>
      <c r="J57" s="147" t="s">
        <v>657</v>
      </c>
      <c r="K57" s="146">
        <v>49.9</v>
      </c>
    </row>
    <row r="58" spans="1:12" x14ac:dyDescent="0.25">
      <c r="A58" s="159">
        <v>814559000035</v>
      </c>
      <c r="B58" s="148" t="s">
        <v>135</v>
      </c>
      <c r="C58" s="147" t="s">
        <v>43</v>
      </c>
      <c r="D58" s="147" t="s">
        <v>358</v>
      </c>
      <c r="E58" s="147" t="s">
        <v>557</v>
      </c>
      <c r="F58" s="147" t="s">
        <v>87</v>
      </c>
      <c r="G58" s="147" t="s">
        <v>87</v>
      </c>
      <c r="H58" s="147" t="s">
        <v>87</v>
      </c>
      <c r="I58" s="147" t="s">
        <v>639</v>
      </c>
      <c r="J58" s="147" t="s">
        <v>657</v>
      </c>
      <c r="K58" s="146">
        <v>39</v>
      </c>
    </row>
    <row r="59" spans="1:12" x14ac:dyDescent="0.25">
      <c r="A59" s="160">
        <v>814559000042</v>
      </c>
      <c r="B59" s="152" t="s">
        <v>142</v>
      </c>
      <c r="C59" s="151" t="s">
        <v>47</v>
      </c>
      <c r="D59" s="151" t="s">
        <v>358</v>
      </c>
      <c r="E59" s="151" t="s">
        <v>557</v>
      </c>
      <c r="F59" s="151" t="s">
        <v>87</v>
      </c>
      <c r="G59" s="151" t="s">
        <v>87</v>
      </c>
      <c r="H59" s="151" t="s">
        <v>87</v>
      </c>
      <c r="I59" s="151" t="s">
        <v>639</v>
      </c>
      <c r="J59" s="151" t="s">
        <v>657</v>
      </c>
      <c r="K59" s="150">
        <v>39</v>
      </c>
    </row>
    <row r="60" spans="1:12" x14ac:dyDescent="0.25">
      <c r="A60" s="160">
        <v>814559000059</v>
      </c>
      <c r="B60" s="152" t="s">
        <v>137</v>
      </c>
      <c r="C60" s="151" t="s">
        <v>44</v>
      </c>
      <c r="D60" s="151" t="s">
        <v>358</v>
      </c>
      <c r="E60" s="151" t="s">
        <v>557</v>
      </c>
      <c r="F60" s="151" t="s">
        <v>87</v>
      </c>
      <c r="G60" s="151" t="s">
        <v>87</v>
      </c>
      <c r="H60" s="151" t="s">
        <v>87</v>
      </c>
      <c r="I60" s="151" t="s">
        <v>639</v>
      </c>
      <c r="J60" s="151" t="s">
        <v>657</v>
      </c>
      <c r="K60" s="150">
        <v>33</v>
      </c>
    </row>
    <row r="61" spans="1:12" x14ac:dyDescent="0.25">
      <c r="A61" s="159">
        <v>850119000312</v>
      </c>
      <c r="B61" s="148" t="s">
        <v>142</v>
      </c>
      <c r="C61" s="147" t="s">
        <v>665</v>
      </c>
      <c r="D61" s="147" t="s">
        <v>649</v>
      </c>
      <c r="E61" s="147" t="s">
        <v>650</v>
      </c>
      <c r="F61" s="147" t="s">
        <v>87</v>
      </c>
      <c r="G61" s="147" t="s">
        <v>87</v>
      </c>
      <c r="H61" s="147" t="s">
        <v>87</v>
      </c>
      <c r="I61" s="147" t="s">
        <v>637</v>
      </c>
      <c r="J61" s="147" t="s">
        <v>657</v>
      </c>
      <c r="K61" s="146">
        <v>34.200000000000003</v>
      </c>
    </row>
    <row r="62" spans="1:12" ht="15.75" thickBot="1" x14ac:dyDescent="0.3"/>
    <row r="63" spans="1:12" x14ac:dyDescent="0.25">
      <c r="A63" s="645" t="s">
        <v>666</v>
      </c>
      <c r="B63" s="646"/>
      <c r="C63" s="646"/>
      <c r="D63" s="646"/>
      <c r="E63" s="646"/>
      <c r="F63" s="646"/>
      <c r="G63" s="646"/>
      <c r="H63" s="646"/>
      <c r="I63" s="646"/>
      <c r="J63" s="646"/>
      <c r="K63" s="646"/>
      <c r="L63" s="647"/>
    </row>
    <row r="64" spans="1:12" ht="15.75" thickBot="1" x14ac:dyDescent="0.3">
      <c r="A64" s="648"/>
      <c r="B64" s="649"/>
      <c r="C64" s="649"/>
      <c r="D64" s="649"/>
      <c r="E64" s="649"/>
      <c r="F64" s="649"/>
      <c r="G64" s="649"/>
      <c r="H64" s="649"/>
      <c r="I64" s="649"/>
      <c r="J64" s="649"/>
      <c r="K64" s="649"/>
      <c r="L64" s="650"/>
    </row>
    <row r="66" spans="1:11" x14ac:dyDescent="0.25">
      <c r="A66" s="156" t="s">
        <v>251</v>
      </c>
      <c r="B66" s="155" t="s">
        <v>253</v>
      </c>
      <c r="C66" s="154" t="s">
        <v>250</v>
      </c>
      <c r="D66" s="154" t="s">
        <v>255</v>
      </c>
      <c r="E66" s="154" t="s">
        <v>4</v>
      </c>
      <c r="F66" s="154" t="s">
        <v>256</v>
      </c>
      <c r="G66" s="154" t="s">
        <v>609</v>
      </c>
      <c r="H66" s="154" t="s">
        <v>610</v>
      </c>
      <c r="I66" s="154" t="s">
        <v>5</v>
      </c>
      <c r="J66" s="154" t="s">
        <v>611</v>
      </c>
      <c r="K66" s="154" t="s">
        <v>6</v>
      </c>
    </row>
    <row r="67" spans="1:11" x14ac:dyDescent="0.25">
      <c r="A67" s="161" t="s">
        <v>667</v>
      </c>
      <c r="B67" s="152" t="s">
        <v>142</v>
      </c>
      <c r="C67" s="151" t="s">
        <v>32</v>
      </c>
      <c r="D67" s="151" t="s">
        <v>358</v>
      </c>
      <c r="E67" s="151" t="s">
        <v>341</v>
      </c>
      <c r="F67" s="151" t="s">
        <v>87</v>
      </c>
      <c r="G67" s="151" t="s">
        <v>87</v>
      </c>
      <c r="H67" s="151" t="s">
        <v>87</v>
      </c>
      <c r="I67" s="151" t="s">
        <v>668</v>
      </c>
      <c r="J67" s="151" t="s">
        <v>669</v>
      </c>
      <c r="K67" s="150">
        <v>14.9</v>
      </c>
    </row>
    <row r="68" spans="1:11" x14ac:dyDescent="0.25">
      <c r="A68" s="161" t="s">
        <v>670</v>
      </c>
      <c r="B68" s="152" t="s">
        <v>142</v>
      </c>
      <c r="C68" s="151" t="s">
        <v>671</v>
      </c>
      <c r="D68" s="151" t="s">
        <v>358</v>
      </c>
      <c r="E68" s="151" t="s">
        <v>341</v>
      </c>
      <c r="F68" s="151" t="s">
        <v>87</v>
      </c>
      <c r="G68" s="151" t="s">
        <v>87</v>
      </c>
      <c r="H68" s="151" t="s">
        <v>87</v>
      </c>
      <c r="I68" s="151" t="s">
        <v>668</v>
      </c>
      <c r="J68" s="151" t="s">
        <v>669</v>
      </c>
      <c r="K68" s="150">
        <v>14.9</v>
      </c>
    </row>
    <row r="69" spans="1:11" x14ac:dyDescent="0.25">
      <c r="A69" s="161" t="s">
        <v>672</v>
      </c>
      <c r="B69" s="152" t="s">
        <v>142</v>
      </c>
      <c r="C69" s="151" t="s">
        <v>673</v>
      </c>
      <c r="D69" s="151" t="s">
        <v>358</v>
      </c>
      <c r="E69" s="151" t="s">
        <v>341</v>
      </c>
      <c r="F69" s="151" t="s">
        <v>87</v>
      </c>
      <c r="G69" s="151" t="s">
        <v>87</v>
      </c>
      <c r="H69" s="151" t="s">
        <v>87</v>
      </c>
      <c r="I69" s="151" t="s">
        <v>668</v>
      </c>
      <c r="J69" s="151" t="s">
        <v>669</v>
      </c>
      <c r="K69" s="150">
        <v>14.9</v>
      </c>
    </row>
    <row r="70" spans="1:11" x14ac:dyDescent="0.25">
      <c r="A70" s="162" t="s">
        <v>674</v>
      </c>
      <c r="B70" s="148" t="s">
        <v>142</v>
      </c>
      <c r="C70" s="147" t="s">
        <v>675</v>
      </c>
      <c r="D70" s="147" t="s">
        <v>358</v>
      </c>
      <c r="E70" s="147" t="s">
        <v>341</v>
      </c>
      <c r="F70" s="147" t="s">
        <v>87</v>
      </c>
      <c r="G70" s="147" t="s">
        <v>87</v>
      </c>
      <c r="H70" s="147" t="s">
        <v>87</v>
      </c>
      <c r="I70" s="147" t="s">
        <v>668</v>
      </c>
      <c r="J70" s="147" t="s">
        <v>669</v>
      </c>
      <c r="K70" s="146">
        <v>27.9</v>
      </c>
    </row>
    <row r="71" spans="1:11" x14ac:dyDescent="0.25">
      <c r="A71" s="161" t="s">
        <v>676</v>
      </c>
      <c r="B71" s="152" t="s">
        <v>142</v>
      </c>
      <c r="C71" s="151" t="s">
        <v>677</v>
      </c>
      <c r="D71" s="151" t="s">
        <v>358</v>
      </c>
      <c r="E71" s="151" t="s">
        <v>624</v>
      </c>
      <c r="F71" s="151" t="s">
        <v>87</v>
      </c>
      <c r="G71" s="151" t="s">
        <v>87</v>
      </c>
      <c r="H71" s="151" t="s">
        <v>87</v>
      </c>
      <c r="I71" s="151" t="s">
        <v>678</v>
      </c>
      <c r="J71" s="151" t="s">
        <v>669</v>
      </c>
      <c r="K71" s="150">
        <v>49.9</v>
      </c>
    </row>
    <row r="72" spans="1:11" x14ac:dyDescent="0.25">
      <c r="A72" s="162" t="s">
        <v>679</v>
      </c>
      <c r="B72" s="148" t="s">
        <v>142</v>
      </c>
      <c r="C72" s="147" t="s">
        <v>680</v>
      </c>
      <c r="D72" s="147" t="s">
        <v>358</v>
      </c>
      <c r="E72" s="147" t="s">
        <v>624</v>
      </c>
      <c r="F72" s="147" t="s">
        <v>87</v>
      </c>
      <c r="G72" s="147" t="s">
        <v>87</v>
      </c>
      <c r="H72" s="147" t="s">
        <v>87</v>
      </c>
      <c r="I72" s="147" t="s">
        <v>678</v>
      </c>
      <c r="J72" s="147" t="s">
        <v>669</v>
      </c>
      <c r="K72" s="146">
        <v>29.9</v>
      </c>
    </row>
    <row r="73" spans="1:11" x14ac:dyDescent="0.25">
      <c r="A73" s="161" t="s">
        <v>681</v>
      </c>
      <c r="B73" s="152" t="s">
        <v>142</v>
      </c>
      <c r="C73" s="151" t="s">
        <v>682</v>
      </c>
      <c r="D73" s="151" t="s">
        <v>358</v>
      </c>
      <c r="E73" s="151" t="s">
        <v>624</v>
      </c>
      <c r="F73" s="151" t="s">
        <v>87</v>
      </c>
      <c r="G73" s="151" t="s">
        <v>87</v>
      </c>
      <c r="H73" s="151" t="s">
        <v>87</v>
      </c>
      <c r="I73" s="151" t="s">
        <v>668</v>
      </c>
      <c r="J73" s="151" t="s">
        <v>669</v>
      </c>
      <c r="K73" s="150">
        <v>17.899999999999999</v>
      </c>
    </row>
    <row r="74" spans="1:11" x14ac:dyDescent="0.25">
      <c r="A74" s="161" t="s">
        <v>683</v>
      </c>
      <c r="B74" s="152" t="s">
        <v>135</v>
      </c>
      <c r="C74" s="151" t="s">
        <v>515</v>
      </c>
      <c r="D74" s="151" t="s">
        <v>515</v>
      </c>
      <c r="E74" s="151" t="s">
        <v>464</v>
      </c>
      <c r="F74" s="151" t="s">
        <v>269</v>
      </c>
      <c r="G74" s="151" t="s">
        <v>87</v>
      </c>
      <c r="H74" s="151" t="s">
        <v>87</v>
      </c>
      <c r="I74" s="151" t="s">
        <v>678</v>
      </c>
      <c r="J74" s="151" t="s">
        <v>669</v>
      </c>
      <c r="K74" s="150">
        <v>51.6</v>
      </c>
    </row>
    <row r="75" spans="1:11" x14ac:dyDescent="0.25">
      <c r="A75" s="161" t="s">
        <v>684</v>
      </c>
      <c r="B75" s="152" t="s">
        <v>137</v>
      </c>
      <c r="C75" s="151" t="s">
        <v>462</v>
      </c>
      <c r="D75" s="151" t="s">
        <v>462</v>
      </c>
      <c r="E75" s="151" t="s">
        <v>464</v>
      </c>
      <c r="F75" s="151" t="s">
        <v>278</v>
      </c>
      <c r="G75" s="151" t="s">
        <v>87</v>
      </c>
      <c r="H75" s="151" t="s">
        <v>87</v>
      </c>
      <c r="I75" s="151" t="s">
        <v>678</v>
      </c>
      <c r="J75" s="151" t="s">
        <v>669</v>
      </c>
      <c r="K75" s="150">
        <v>51.6</v>
      </c>
    </row>
    <row r="76" spans="1:11" x14ac:dyDescent="0.25">
      <c r="A76" s="162" t="s">
        <v>685</v>
      </c>
      <c r="B76" s="148" t="s">
        <v>142</v>
      </c>
      <c r="C76" s="147" t="s">
        <v>686</v>
      </c>
      <c r="D76" s="147" t="s">
        <v>358</v>
      </c>
      <c r="E76" s="147" t="s">
        <v>687</v>
      </c>
      <c r="F76" s="147" t="s">
        <v>87</v>
      </c>
      <c r="G76" s="147" t="s">
        <v>87</v>
      </c>
      <c r="H76" s="147" t="s">
        <v>87</v>
      </c>
      <c r="I76" s="147" t="s">
        <v>668</v>
      </c>
      <c r="J76" s="147" t="s">
        <v>669</v>
      </c>
      <c r="K76" s="146">
        <v>22</v>
      </c>
    </row>
    <row r="77" spans="1:11" x14ac:dyDescent="0.25">
      <c r="A77" s="162" t="s">
        <v>688</v>
      </c>
      <c r="B77" s="148" t="s">
        <v>137</v>
      </c>
      <c r="C77" s="147" t="s">
        <v>689</v>
      </c>
      <c r="D77" s="147" t="s">
        <v>358</v>
      </c>
      <c r="E77" s="147" t="s">
        <v>458</v>
      </c>
      <c r="F77" s="147" t="s">
        <v>87</v>
      </c>
      <c r="G77" s="147" t="s">
        <v>87</v>
      </c>
      <c r="H77" s="147" t="s">
        <v>87</v>
      </c>
      <c r="I77" s="147" t="s">
        <v>678</v>
      </c>
      <c r="J77" s="147" t="s">
        <v>669</v>
      </c>
      <c r="K77" s="146">
        <v>19.899999999999999</v>
      </c>
    </row>
    <row r="78" spans="1:11" x14ac:dyDescent="0.25">
      <c r="A78" s="161" t="s">
        <v>690</v>
      </c>
      <c r="B78" s="152" t="s">
        <v>135</v>
      </c>
      <c r="C78" s="151" t="s">
        <v>691</v>
      </c>
      <c r="D78" s="151" t="s">
        <v>358</v>
      </c>
      <c r="E78" s="151" t="s">
        <v>458</v>
      </c>
      <c r="F78" s="151" t="s">
        <v>87</v>
      </c>
      <c r="G78" s="151" t="s">
        <v>87</v>
      </c>
      <c r="H78" s="151" t="s">
        <v>87</v>
      </c>
      <c r="I78" s="151" t="s">
        <v>678</v>
      </c>
      <c r="J78" s="151" t="s">
        <v>669</v>
      </c>
      <c r="K78" s="150">
        <v>19.899999999999999</v>
      </c>
    </row>
    <row r="79" spans="1:11" x14ac:dyDescent="0.25">
      <c r="A79" s="162" t="s">
        <v>692</v>
      </c>
      <c r="B79" s="148" t="s">
        <v>142</v>
      </c>
      <c r="C79" s="147" t="s">
        <v>693</v>
      </c>
      <c r="D79" s="147" t="s">
        <v>358</v>
      </c>
      <c r="E79" s="147" t="s">
        <v>458</v>
      </c>
      <c r="F79" s="147" t="s">
        <v>87</v>
      </c>
      <c r="G79" s="147" t="s">
        <v>87</v>
      </c>
      <c r="H79" s="147" t="s">
        <v>87</v>
      </c>
      <c r="I79" s="147" t="s">
        <v>678</v>
      </c>
      <c r="J79" s="147" t="s">
        <v>669</v>
      </c>
      <c r="K79" s="146">
        <v>23</v>
      </c>
    </row>
    <row r="80" spans="1:11" x14ac:dyDescent="0.25">
      <c r="A80" s="162" t="s">
        <v>694</v>
      </c>
      <c r="B80" s="148" t="s">
        <v>142</v>
      </c>
      <c r="C80" s="147" t="s">
        <v>34</v>
      </c>
      <c r="D80" s="147" t="s">
        <v>358</v>
      </c>
      <c r="E80" s="147" t="s">
        <v>458</v>
      </c>
      <c r="F80" s="147" t="s">
        <v>87</v>
      </c>
      <c r="G80" s="147" t="s">
        <v>87</v>
      </c>
      <c r="H80" s="147" t="s">
        <v>87</v>
      </c>
      <c r="I80" s="147" t="s">
        <v>678</v>
      </c>
      <c r="J80" s="147" t="s">
        <v>669</v>
      </c>
      <c r="K80" s="146">
        <v>30</v>
      </c>
    </row>
    <row r="81" spans="1:11" x14ac:dyDescent="0.25">
      <c r="A81" s="162" t="s">
        <v>695</v>
      </c>
      <c r="B81" s="148" t="s">
        <v>135</v>
      </c>
      <c r="C81" s="147" t="s">
        <v>696</v>
      </c>
      <c r="D81" s="147" t="s">
        <v>582</v>
      </c>
      <c r="E81" s="147" t="s">
        <v>271</v>
      </c>
      <c r="F81" s="147" t="s">
        <v>269</v>
      </c>
      <c r="G81" s="147" t="s">
        <v>87</v>
      </c>
      <c r="H81" s="147" t="s">
        <v>87</v>
      </c>
      <c r="I81" s="147" t="s">
        <v>668</v>
      </c>
      <c r="J81" s="147" t="s">
        <v>669</v>
      </c>
      <c r="K81" s="146">
        <v>28</v>
      </c>
    </row>
    <row r="82" spans="1:11" x14ac:dyDescent="0.25">
      <c r="A82" s="161" t="s">
        <v>697</v>
      </c>
      <c r="B82" s="152" t="s">
        <v>135</v>
      </c>
      <c r="C82" s="151" t="s">
        <v>698</v>
      </c>
      <c r="D82" s="151" t="s">
        <v>699</v>
      </c>
      <c r="E82" s="151" t="s">
        <v>271</v>
      </c>
      <c r="F82" s="151" t="s">
        <v>269</v>
      </c>
      <c r="G82" s="151" t="s">
        <v>87</v>
      </c>
      <c r="H82" s="151" t="s">
        <v>87</v>
      </c>
      <c r="I82" s="151" t="s">
        <v>668</v>
      </c>
      <c r="J82" s="151" t="s">
        <v>669</v>
      </c>
      <c r="K82" s="150">
        <v>28</v>
      </c>
    </row>
    <row r="83" spans="1:11" x14ac:dyDescent="0.25">
      <c r="A83" s="162" t="s">
        <v>700</v>
      </c>
      <c r="B83" s="148" t="s">
        <v>135</v>
      </c>
      <c r="C83" s="147" t="s">
        <v>701</v>
      </c>
      <c r="D83" s="147" t="s">
        <v>699</v>
      </c>
      <c r="E83" s="147" t="s">
        <v>271</v>
      </c>
      <c r="F83" s="147" t="s">
        <v>269</v>
      </c>
      <c r="G83" s="147" t="s">
        <v>87</v>
      </c>
      <c r="H83" s="147" t="s">
        <v>87</v>
      </c>
      <c r="I83" s="147" t="s">
        <v>668</v>
      </c>
      <c r="J83" s="147" t="s">
        <v>669</v>
      </c>
      <c r="K83" s="146">
        <v>15</v>
      </c>
    </row>
    <row r="84" spans="1:11" x14ac:dyDescent="0.25">
      <c r="A84" s="161" t="s">
        <v>702</v>
      </c>
      <c r="B84" s="152" t="s">
        <v>142</v>
      </c>
      <c r="C84" s="151" t="s">
        <v>35</v>
      </c>
      <c r="D84" s="151" t="s">
        <v>358</v>
      </c>
      <c r="E84" s="151" t="s">
        <v>271</v>
      </c>
      <c r="F84" s="151" t="s">
        <v>87</v>
      </c>
      <c r="G84" s="151" t="s">
        <v>87</v>
      </c>
      <c r="H84" s="151" t="s">
        <v>87</v>
      </c>
      <c r="I84" s="151" t="s">
        <v>668</v>
      </c>
      <c r="J84" s="151" t="s">
        <v>669</v>
      </c>
      <c r="K84" s="150">
        <v>43.4</v>
      </c>
    </row>
    <row r="85" spans="1:11" x14ac:dyDescent="0.25">
      <c r="A85" s="161" t="s">
        <v>703</v>
      </c>
      <c r="B85" s="152" t="s">
        <v>137</v>
      </c>
      <c r="C85" s="151" t="s">
        <v>704</v>
      </c>
      <c r="D85" s="151" t="s">
        <v>705</v>
      </c>
      <c r="E85" s="151" t="s">
        <v>271</v>
      </c>
      <c r="F85" s="151" t="s">
        <v>269</v>
      </c>
      <c r="G85" s="151" t="s">
        <v>87</v>
      </c>
      <c r="H85" s="151" t="s">
        <v>87</v>
      </c>
      <c r="I85" s="151" t="s">
        <v>668</v>
      </c>
      <c r="J85" s="151" t="s">
        <v>669</v>
      </c>
      <c r="K85" s="150">
        <v>28</v>
      </c>
    </row>
    <row r="86" spans="1:11" x14ac:dyDescent="0.25">
      <c r="A86" s="162" t="s">
        <v>706</v>
      </c>
      <c r="B86" s="148" t="s">
        <v>137</v>
      </c>
      <c r="C86" s="147" t="s">
        <v>707</v>
      </c>
      <c r="D86" s="147" t="s">
        <v>705</v>
      </c>
      <c r="E86" s="147" t="s">
        <v>271</v>
      </c>
      <c r="F86" s="147" t="s">
        <v>269</v>
      </c>
      <c r="G86" s="147" t="s">
        <v>87</v>
      </c>
      <c r="H86" s="147" t="s">
        <v>87</v>
      </c>
      <c r="I86" s="147" t="s">
        <v>668</v>
      </c>
      <c r="J86" s="147" t="s">
        <v>669</v>
      </c>
      <c r="K86" s="146">
        <v>15</v>
      </c>
    </row>
    <row r="87" spans="1:11" x14ac:dyDescent="0.25">
      <c r="A87" s="162" t="s">
        <v>708</v>
      </c>
      <c r="B87" s="148" t="s">
        <v>142</v>
      </c>
      <c r="C87" s="147" t="s">
        <v>709</v>
      </c>
      <c r="D87" s="147" t="s">
        <v>660</v>
      </c>
      <c r="E87" s="147" t="s">
        <v>271</v>
      </c>
      <c r="F87" s="147" t="s">
        <v>299</v>
      </c>
      <c r="G87" s="147" t="s">
        <v>87</v>
      </c>
      <c r="H87" s="147" t="s">
        <v>87</v>
      </c>
      <c r="I87" s="147" t="s">
        <v>668</v>
      </c>
      <c r="J87" s="147" t="s">
        <v>669</v>
      </c>
      <c r="K87" s="146">
        <v>28</v>
      </c>
    </row>
    <row r="88" spans="1:11" x14ac:dyDescent="0.25">
      <c r="A88" s="161" t="s">
        <v>710</v>
      </c>
      <c r="B88" s="152" t="s">
        <v>142</v>
      </c>
      <c r="C88" s="151" t="s">
        <v>711</v>
      </c>
      <c r="D88" s="151" t="s">
        <v>660</v>
      </c>
      <c r="E88" s="151" t="s">
        <v>271</v>
      </c>
      <c r="F88" s="151" t="s">
        <v>299</v>
      </c>
      <c r="G88" s="151" t="s">
        <v>87</v>
      </c>
      <c r="H88" s="151" t="s">
        <v>87</v>
      </c>
      <c r="I88" s="151" t="s">
        <v>668</v>
      </c>
      <c r="J88" s="151" t="s">
        <v>669</v>
      </c>
      <c r="K88" s="150">
        <v>15</v>
      </c>
    </row>
    <row r="89" spans="1:11" x14ac:dyDescent="0.25">
      <c r="A89" s="162" t="s">
        <v>712</v>
      </c>
      <c r="B89" s="148" t="s">
        <v>142</v>
      </c>
      <c r="C89" s="147" t="s">
        <v>713</v>
      </c>
      <c r="D89" s="147" t="s">
        <v>358</v>
      </c>
      <c r="E89" s="147" t="s">
        <v>271</v>
      </c>
      <c r="F89" s="147" t="s">
        <v>87</v>
      </c>
      <c r="G89" s="147" t="s">
        <v>87</v>
      </c>
      <c r="H89" s="147" t="s">
        <v>87</v>
      </c>
      <c r="I89" s="147" t="s">
        <v>678</v>
      </c>
      <c r="J89" s="147" t="s">
        <v>669</v>
      </c>
      <c r="K89" s="146">
        <v>40</v>
      </c>
    </row>
    <row r="90" spans="1:11" x14ac:dyDescent="0.25">
      <c r="A90" s="162" t="s">
        <v>714</v>
      </c>
      <c r="B90" s="148" t="s">
        <v>142</v>
      </c>
      <c r="C90" s="147" t="s">
        <v>27</v>
      </c>
      <c r="D90" s="147" t="s">
        <v>358</v>
      </c>
      <c r="E90" s="147" t="s">
        <v>583</v>
      </c>
      <c r="F90" s="147" t="s">
        <v>87</v>
      </c>
      <c r="G90" s="147" t="s">
        <v>87</v>
      </c>
      <c r="H90" s="147" t="s">
        <v>87</v>
      </c>
      <c r="I90" s="147" t="s">
        <v>668</v>
      </c>
      <c r="J90" s="147" t="s">
        <v>669</v>
      </c>
      <c r="K90" s="146">
        <v>18.899999999999999</v>
      </c>
    </row>
    <row r="91" spans="1:11" x14ac:dyDescent="0.25">
      <c r="A91" s="161" t="s">
        <v>715</v>
      </c>
      <c r="B91" s="152" t="s">
        <v>142</v>
      </c>
      <c r="C91" s="151" t="s">
        <v>716</v>
      </c>
      <c r="D91" s="151" t="s">
        <v>358</v>
      </c>
      <c r="E91" s="151" t="s">
        <v>468</v>
      </c>
      <c r="F91" s="151" t="s">
        <v>87</v>
      </c>
      <c r="G91" s="151" t="s">
        <v>87</v>
      </c>
      <c r="H91" s="151" t="s">
        <v>87</v>
      </c>
      <c r="I91" s="151" t="s">
        <v>678</v>
      </c>
      <c r="J91" s="151" t="s">
        <v>669</v>
      </c>
      <c r="K91" s="150">
        <v>40</v>
      </c>
    </row>
    <row r="92" spans="1:11" x14ac:dyDescent="0.25">
      <c r="A92" s="161" t="s">
        <v>717</v>
      </c>
      <c r="B92" s="152" t="s">
        <v>142</v>
      </c>
      <c r="C92" s="151" t="s">
        <v>718</v>
      </c>
      <c r="D92" s="151" t="s">
        <v>358</v>
      </c>
      <c r="E92" s="151" t="s">
        <v>468</v>
      </c>
      <c r="F92" s="151" t="s">
        <v>87</v>
      </c>
      <c r="G92" s="151" t="s">
        <v>87</v>
      </c>
      <c r="H92" s="151" t="s">
        <v>87</v>
      </c>
      <c r="I92" s="151" t="s">
        <v>678</v>
      </c>
      <c r="J92" s="151" t="s">
        <v>669</v>
      </c>
      <c r="K92" s="150">
        <v>20</v>
      </c>
    </row>
    <row r="93" spans="1:11" x14ac:dyDescent="0.25">
      <c r="A93" s="162" t="s">
        <v>719</v>
      </c>
      <c r="B93" s="148" t="s">
        <v>135</v>
      </c>
      <c r="C93" s="147" t="s">
        <v>720</v>
      </c>
      <c r="D93" s="147" t="s">
        <v>358</v>
      </c>
      <c r="E93" s="147" t="s">
        <v>721</v>
      </c>
      <c r="F93" s="147" t="s">
        <v>87</v>
      </c>
      <c r="G93" s="147" t="s">
        <v>87</v>
      </c>
      <c r="H93" s="147" t="s">
        <v>87</v>
      </c>
      <c r="I93" s="147" t="s">
        <v>678</v>
      </c>
      <c r="J93" s="147" t="s">
        <v>669</v>
      </c>
      <c r="K93" s="146">
        <v>38.299999999999997</v>
      </c>
    </row>
    <row r="94" spans="1:11" x14ac:dyDescent="0.25">
      <c r="A94" s="162" t="s">
        <v>722</v>
      </c>
      <c r="B94" s="148" t="s">
        <v>142</v>
      </c>
      <c r="C94" s="147" t="s">
        <v>22</v>
      </c>
      <c r="D94" s="147" t="s">
        <v>649</v>
      </c>
      <c r="E94" s="147" t="s">
        <v>650</v>
      </c>
      <c r="F94" s="147" t="s">
        <v>87</v>
      </c>
      <c r="G94" s="147" t="s">
        <v>87</v>
      </c>
      <c r="H94" s="147" t="s">
        <v>87</v>
      </c>
      <c r="I94" s="147" t="s">
        <v>678</v>
      </c>
      <c r="J94" s="147" t="s">
        <v>669</v>
      </c>
      <c r="K94" s="146">
        <v>74.3</v>
      </c>
    </row>
    <row r="95" spans="1:11" x14ac:dyDescent="0.25">
      <c r="A95" s="161" t="s">
        <v>723</v>
      </c>
      <c r="B95" s="152" t="s">
        <v>142</v>
      </c>
      <c r="C95" s="151" t="s">
        <v>665</v>
      </c>
      <c r="D95" s="151" t="s">
        <v>649</v>
      </c>
      <c r="E95" s="151" t="s">
        <v>650</v>
      </c>
      <c r="F95" s="151" t="s">
        <v>87</v>
      </c>
      <c r="G95" s="151" t="s">
        <v>87</v>
      </c>
      <c r="H95" s="151" t="s">
        <v>87</v>
      </c>
      <c r="I95" s="151" t="s">
        <v>668</v>
      </c>
      <c r="J95" s="151" t="s">
        <v>669</v>
      </c>
      <c r="K95" s="150">
        <v>41.9</v>
      </c>
    </row>
    <row r="96" spans="1:11" ht="15.75" thickBot="1" x14ac:dyDescent="0.3"/>
    <row r="97" spans="1:12" x14ac:dyDescent="0.25">
      <c r="A97" s="645" t="s">
        <v>724</v>
      </c>
      <c r="B97" s="646"/>
      <c r="C97" s="646"/>
      <c r="D97" s="646"/>
      <c r="E97" s="646"/>
      <c r="F97" s="646"/>
      <c r="G97" s="646"/>
      <c r="H97" s="646"/>
      <c r="I97" s="646"/>
      <c r="J97" s="646"/>
      <c r="K97" s="646"/>
      <c r="L97" s="647"/>
    </row>
    <row r="98" spans="1:12" ht="15.75" thickBot="1" x14ac:dyDescent="0.3">
      <c r="A98" s="648"/>
      <c r="B98" s="649"/>
      <c r="C98" s="649"/>
      <c r="D98" s="649"/>
      <c r="E98" s="649"/>
      <c r="F98" s="649"/>
      <c r="G98" s="649"/>
      <c r="H98" s="649"/>
      <c r="I98" s="649"/>
      <c r="J98" s="649"/>
      <c r="K98" s="649"/>
      <c r="L98" s="650"/>
    </row>
    <row r="100" spans="1:12" x14ac:dyDescent="0.25">
      <c r="A100" s="156" t="s">
        <v>251</v>
      </c>
      <c r="B100" s="156" t="s">
        <v>252</v>
      </c>
      <c r="C100" s="155" t="s">
        <v>253</v>
      </c>
      <c r="D100" s="154" t="s">
        <v>250</v>
      </c>
      <c r="E100" s="154" t="s">
        <v>255</v>
      </c>
      <c r="F100" s="154" t="s">
        <v>4</v>
      </c>
      <c r="G100" s="154" t="s">
        <v>256</v>
      </c>
      <c r="H100" s="154" t="s">
        <v>609</v>
      </c>
      <c r="I100" s="154" t="s">
        <v>610</v>
      </c>
      <c r="J100" s="154" t="s">
        <v>5</v>
      </c>
      <c r="K100" s="154" t="s">
        <v>611</v>
      </c>
      <c r="L100" s="154" t="s">
        <v>6</v>
      </c>
    </row>
    <row r="101" spans="1:12" x14ac:dyDescent="0.25">
      <c r="A101" s="159">
        <v>688083002434</v>
      </c>
      <c r="B101" s="149" t="s">
        <v>725</v>
      </c>
      <c r="C101" s="148" t="s">
        <v>726</v>
      </c>
      <c r="D101" s="147" t="s">
        <v>727</v>
      </c>
      <c r="E101" s="147" t="s">
        <v>358</v>
      </c>
      <c r="F101" s="147" t="s">
        <v>728</v>
      </c>
      <c r="G101" s="147" t="s">
        <v>87</v>
      </c>
      <c r="H101" s="147" t="s">
        <v>87</v>
      </c>
      <c r="I101" s="147" t="s">
        <v>87</v>
      </c>
      <c r="J101" s="147" t="s">
        <v>729</v>
      </c>
      <c r="K101" s="147" t="s">
        <v>730</v>
      </c>
      <c r="L101" s="146">
        <v>5.3</v>
      </c>
    </row>
    <row r="102" spans="1:12" x14ac:dyDescent="0.25">
      <c r="A102" s="159">
        <v>688083002441</v>
      </c>
      <c r="B102" s="149" t="s">
        <v>725</v>
      </c>
      <c r="C102" s="148" t="s">
        <v>726</v>
      </c>
      <c r="D102" s="147" t="s">
        <v>79</v>
      </c>
      <c r="E102" s="147" t="s">
        <v>358</v>
      </c>
      <c r="F102" s="147" t="s">
        <v>728</v>
      </c>
      <c r="G102" s="147" t="s">
        <v>87</v>
      </c>
      <c r="H102" s="147" t="s">
        <v>87</v>
      </c>
      <c r="I102" s="147" t="s">
        <v>87</v>
      </c>
      <c r="J102" s="147" t="s">
        <v>729</v>
      </c>
      <c r="K102" s="147" t="s">
        <v>730</v>
      </c>
      <c r="L102" s="146">
        <v>5.3</v>
      </c>
    </row>
    <row r="103" spans="1:12" x14ac:dyDescent="0.25">
      <c r="A103" s="160">
        <v>688083002458</v>
      </c>
      <c r="B103" s="153" t="s">
        <v>725</v>
      </c>
      <c r="C103" s="152" t="s">
        <v>726</v>
      </c>
      <c r="D103" s="151" t="s">
        <v>731</v>
      </c>
      <c r="E103" s="151" t="s">
        <v>358</v>
      </c>
      <c r="F103" s="151" t="s">
        <v>728</v>
      </c>
      <c r="G103" s="151" t="s">
        <v>87</v>
      </c>
      <c r="H103" s="151" t="s">
        <v>87</v>
      </c>
      <c r="I103" s="151" t="s">
        <v>87</v>
      </c>
      <c r="J103" s="151" t="s">
        <v>729</v>
      </c>
      <c r="K103" s="151" t="s">
        <v>730</v>
      </c>
      <c r="L103" s="150">
        <v>5.3</v>
      </c>
    </row>
    <row r="104" spans="1:12" x14ac:dyDescent="0.25">
      <c r="A104" s="160">
        <v>688083002496</v>
      </c>
      <c r="B104" s="153" t="s">
        <v>725</v>
      </c>
      <c r="C104" s="152" t="s">
        <v>726</v>
      </c>
      <c r="D104" s="151" t="s">
        <v>80</v>
      </c>
      <c r="E104" s="151" t="s">
        <v>358</v>
      </c>
      <c r="F104" s="151" t="s">
        <v>728</v>
      </c>
      <c r="G104" s="151" t="s">
        <v>87</v>
      </c>
      <c r="H104" s="151" t="s">
        <v>87</v>
      </c>
      <c r="I104" s="151" t="s">
        <v>87</v>
      </c>
      <c r="J104" s="151" t="s">
        <v>729</v>
      </c>
      <c r="K104" s="151" t="s">
        <v>730</v>
      </c>
      <c r="L104" s="150">
        <v>5.3</v>
      </c>
    </row>
    <row r="105" spans="1:12" x14ac:dyDescent="0.25">
      <c r="A105" s="160">
        <v>688083002748</v>
      </c>
      <c r="B105" s="153" t="s">
        <v>725</v>
      </c>
      <c r="C105" s="152" t="s">
        <v>726</v>
      </c>
      <c r="D105" s="151" t="s">
        <v>75</v>
      </c>
      <c r="E105" s="151" t="s">
        <v>705</v>
      </c>
      <c r="F105" s="151" t="s">
        <v>271</v>
      </c>
      <c r="G105" s="151" t="s">
        <v>87</v>
      </c>
      <c r="H105" s="151" t="s">
        <v>87</v>
      </c>
      <c r="I105" s="151" t="s">
        <v>87</v>
      </c>
      <c r="J105" s="151" t="s">
        <v>729</v>
      </c>
      <c r="K105" s="151" t="s">
        <v>730</v>
      </c>
      <c r="L105" s="150">
        <v>4.7</v>
      </c>
    </row>
    <row r="106" spans="1:12" x14ac:dyDescent="0.25">
      <c r="A106" s="159">
        <v>688083002762</v>
      </c>
      <c r="B106" s="149" t="s">
        <v>725</v>
      </c>
      <c r="C106" s="148" t="s">
        <v>726</v>
      </c>
      <c r="D106" s="147" t="s">
        <v>74</v>
      </c>
      <c r="E106" s="147" t="s">
        <v>699</v>
      </c>
      <c r="F106" s="147" t="s">
        <v>271</v>
      </c>
      <c r="G106" s="147" t="s">
        <v>87</v>
      </c>
      <c r="H106" s="147" t="s">
        <v>87</v>
      </c>
      <c r="I106" s="147" t="s">
        <v>87</v>
      </c>
      <c r="J106" s="147" t="s">
        <v>729</v>
      </c>
      <c r="K106" s="147" t="s">
        <v>730</v>
      </c>
      <c r="L106" s="146">
        <v>4.7</v>
      </c>
    </row>
    <row r="107" spans="1:12" x14ac:dyDescent="0.25">
      <c r="A107" s="159">
        <v>688083006579</v>
      </c>
      <c r="B107" s="149" t="s">
        <v>725</v>
      </c>
      <c r="C107" s="148" t="s">
        <v>726</v>
      </c>
      <c r="D107" s="147" t="s">
        <v>65</v>
      </c>
      <c r="E107" s="147" t="s">
        <v>358</v>
      </c>
      <c r="F107" s="147" t="s">
        <v>271</v>
      </c>
      <c r="G107" s="147" t="s">
        <v>87</v>
      </c>
      <c r="H107" s="147" t="s">
        <v>87</v>
      </c>
      <c r="I107" s="147" t="s">
        <v>87</v>
      </c>
      <c r="J107" s="147" t="s">
        <v>729</v>
      </c>
      <c r="K107" s="147" t="s">
        <v>730</v>
      </c>
      <c r="L107" s="146">
        <v>5.0999999999999996</v>
      </c>
    </row>
    <row r="108" spans="1:12" x14ac:dyDescent="0.25">
      <c r="A108" s="160">
        <v>688083006586</v>
      </c>
      <c r="B108" s="153" t="s">
        <v>725</v>
      </c>
      <c r="C108" s="152" t="s">
        <v>726</v>
      </c>
      <c r="D108" s="151" t="s">
        <v>66</v>
      </c>
      <c r="E108" s="151" t="s">
        <v>358</v>
      </c>
      <c r="F108" s="151" t="s">
        <v>271</v>
      </c>
      <c r="G108" s="151" t="s">
        <v>87</v>
      </c>
      <c r="H108" s="151" t="s">
        <v>87</v>
      </c>
      <c r="I108" s="151" t="s">
        <v>87</v>
      </c>
      <c r="J108" s="151" t="s">
        <v>729</v>
      </c>
      <c r="K108" s="151" t="s">
        <v>730</v>
      </c>
      <c r="L108" s="150">
        <v>5.0999999999999996</v>
      </c>
    </row>
    <row r="109" spans="1:12" x14ac:dyDescent="0.25">
      <c r="A109" s="160">
        <v>688083007736</v>
      </c>
      <c r="B109" s="153" t="s">
        <v>725</v>
      </c>
      <c r="C109" s="152" t="s">
        <v>726</v>
      </c>
      <c r="D109" s="151" t="s">
        <v>67</v>
      </c>
      <c r="E109" s="151" t="s">
        <v>358</v>
      </c>
      <c r="F109" s="151" t="s">
        <v>271</v>
      </c>
      <c r="G109" s="151" t="s">
        <v>87</v>
      </c>
      <c r="H109" s="151" t="s">
        <v>732</v>
      </c>
      <c r="I109" s="151" t="s">
        <v>87</v>
      </c>
      <c r="J109" s="151" t="s">
        <v>729</v>
      </c>
      <c r="K109" s="151" t="s">
        <v>730</v>
      </c>
      <c r="L109" s="150">
        <v>5.0999999999999996</v>
      </c>
    </row>
    <row r="110" spans="1:12" x14ac:dyDescent="0.25">
      <c r="A110" s="160">
        <v>697238200007</v>
      </c>
      <c r="B110" s="153" t="s">
        <v>725</v>
      </c>
      <c r="C110" s="152" t="s">
        <v>726</v>
      </c>
      <c r="D110" s="151" t="s">
        <v>733</v>
      </c>
      <c r="E110" s="151" t="s">
        <v>358</v>
      </c>
      <c r="F110" s="151" t="s">
        <v>734</v>
      </c>
      <c r="G110" s="151" t="s">
        <v>87</v>
      </c>
      <c r="H110" s="151" t="s">
        <v>87</v>
      </c>
      <c r="I110" s="151" t="s">
        <v>87</v>
      </c>
      <c r="J110" s="151" t="s">
        <v>729</v>
      </c>
      <c r="K110" s="151" t="s">
        <v>730</v>
      </c>
      <c r="L110" s="150">
        <v>4.9000000000000004</v>
      </c>
    </row>
    <row r="111" spans="1:12" x14ac:dyDescent="0.25">
      <c r="A111" s="160">
        <v>697238200106</v>
      </c>
      <c r="B111" s="153" t="s">
        <v>725</v>
      </c>
      <c r="C111" s="152" t="s">
        <v>726</v>
      </c>
      <c r="D111" s="151" t="s">
        <v>735</v>
      </c>
      <c r="E111" s="151" t="s">
        <v>358</v>
      </c>
      <c r="F111" s="151" t="s">
        <v>734</v>
      </c>
      <c r="G111" s="151" t="s">
        <v>87</v>
      </c>
      <c r="H111" s="151" t="s">
        <v>87</v>
      </c>
      <c r="I111" s="151" t="s">
        <v>87</v>
      </c>
      <c r="J111" s="151" t="s">
        <v>729</v>
      </c>
      <c r="K111" s="151" t="s">
        <v>730</v>
      </c>
      <c r="L111" s="150">
        <v>4.9000000000000004</v>
      </c>
    </row>
    <row r="112" spans="1:12" x14ac:dyDescent="0.25">
      <c r="A112" s="159">
        <v>697238200113</v>
      </c>
      <c r="B112" s="149" t="s">
        <v>725</v>
      </c>
      <c r="C112" s="148" t="s">
        <v>726</v>
      </c>
      <c r="D112" s="147" t="s">
        <v>736</v>
      </c>
      <c r="E112" s="147" t="s">
        <v>358</v>
      </c>
      <c r="F112" s="147" t="s">
        <v>734</v>
      </c>
      <c r="G112" s="147" t="s">
        <v>87</v>
      </c>
      <c r="H112" s="147" t="s">
        <v>737</v>
      </c>
      <c r="I112" s="147" t="s">
        <v>738</v>
      </c>
      <c r="J112" s="147" t="s">
        <v>729</v>
      </c>
      <c r="K112" s="147" t="s">
        <v>730</v>
      </c>
      <c r="L112" s="146">
        <v>4.9000000000000004</v>
      </c>
    </row>
    <row r="113" spans="1:12" x14ac:dyDescent="0.25">
      <c r="A113" s="160">
        <v>697238202001</v>
      </c>
      <c r="B113" s="153" t="s">
        <v>725</v>
      </c>
      <c r="C113" s="152" t="s">
        <v>726</v>
      </c>
      <c r="D113" s="151" t="s">
        <v>72</v>
      </c>
      <c r="E113" s="151" t="s">
        <v>358</v>
      </c>
      <c r="F113" s="151" t="s">
        <v>739</v>
      </c>
      <c r="G113" s="151" t="s">
        <v>87</v>
      </c>
      <c r="H113" s="151" t="s">
        <v>87</v>
      </c>
      <c r="I113" s="151" t="s">
        <v>87</v>
      </c>
      <c r="J113" s="151" t="s">
        <v>729</v>
      </c>
      <c r="K113" s="151" t="s">
        <v>730</v>
      </c>
      <c r="L113" s="150">
        <v>3</v>
      </c>
    </row>
    <row r="114" spans="1:12" x14ac:dyDescent="0.25">
      <c r="A114" s="160">
        <v>697238202018</v>
      </c>
      <c r="B114" s="153" t="s">
        <v>725</v>
      </c>
      <c r="C114" s="152" t="s">
        <v>726</v>
      </c>
      <c r="D114" s="151" t="s">
        <v>63</v>
      </c>
      <c r="E114" s="151" t="s">
        <v>358</v>
      </c>
      <c r="F114" s="151" t="s">
        <v>739</v>
      </c>
      <c r="G114" s="151" t="s">
        <v>87</v>
      </c>
      <c r="H114" s="151" t="s">
        <v>87</v>
      </c>
      <c r="I114" s="151" t="s">
        <v>87</v>
      </c>
      <c r="J114" s="151" t="s">
        <v>729</v>
      </c>
      <c r="K114" s="151" t="s">
        <v>730</v>
      </c>
      <c r="L114" s="150">
        <v>6</v>
      </c>
    </row>
    <row r="115" spans="1:12" x14ac:dyDescent="0.25">
      <c r="A115" s="159">
        <v>697238202025</v>
      </c>
      <c r="B115" s="149" t="s">
        <v>725</v>
      </c>
      <c r="C115" s="148" t="s">
        <v>726</v>
      </c>
      <c r="D115" s="147" t="s">
        <v>64</v>
      </c>
      <c r="E115" s="147" t="s">
        <v>358</v>
      </c>
      <c r="F115" s="147" t="s">
        <v>739</v>
      </c>
      <c r="G115" s="147" t="s">
        <v>87</v>
      </c>
      <c r="H115" s="147" t="s">
        <v>738</v>
      </c>
      <c r="I115" s="147" t="s">
        <v>87</v>
      </c>
      <c r="J115" s="147" t="s">
        <v>729</v>
      </c>
      <c r="K115" s="147" t="s">
        <v>730</v>
      </c>
      <c r="L115" s="146">
        <v>6</v>
      </c>
    </row>
    <row r="116" spans="1:12" x14ac:dyDescent="0.25">
      <c r="A116" s="160">
        <v>697238203077</v>
      </c>
      <c r="B116" s="153" t="s">
        <v>725</v>
      </c>
      <c r="C116" s="152" t="s">
        <v>726</v>
      </c>
      <c r="D116" s="151" t="s">
        <v>54</v>
      </c>
      <c r="E116" s="151" t="s">
        <v>358</v>
      </c>
      <c r="F116" s="151" t="s">
        <v>740</v>
      </c>
      <c r="G116" s="151" t="s">
        <v>87</v>
      </c>
      <c r="H116" s="151" t="s">
        <v>738</v>
      </c>
      <c r="I116" s="151" t="s">
        <v>732</v>
      </c>
      <c r="J116" s="151" t="s">
        <v>741</v>
      </c>
      <c r="K116" s="151" t="s">
        <v>730</v>
      </c>
      <c r="L116" s="150">
        <v>6</v>
      </c>
    </row>
    <row r="117" spans="1:12" x14ac:dyDescent="0.25">
      <c r="A117" s="160">
        <v>697238203084</v>
      </c>
      <c r="B117" s="153" t="s">
        <v>725</v>
      </c>
      <c r="C117" s="152" t="s">
        <v>726</v>
      </c>
      <c r="D117" s="151" t="s">
        <v>742</v>
      </c>
      <c r="E117" s="151" t="s">
        <v>358</v>
      </c>
      <c r="F117" s="151" t="s">
        <v>740</v>
      </c>
      <c r="G117" s="151" t="s">
        <v>87</v>
      </c>
      <c r="H117" s="151" t="s">
        <v>732</v>
      </c>
      <c r="I117" s="151" t="s">
        <v>737</v>
      </c>
      <c r="J117" s="151" t="s">
        <v>741</v>
      </c>
      <c r="K117" s="151" t="s">
        <v>730</v>
      </c>
      <c r="L117" s="150">
        <v>6</v>
      </c>
    </row>
    <row r="118" spans="1:12" x14ac:dyDescent="0.25">
      <c r="A118" s="159">
        <v>697238203138</v>
      </c>
      <c r="B118" s="149" t="s">
        <v>725</v>
      </c>
      <c r="C118" s="148" t="s">
        <v>726</v>
      </c>
      <c r="D118" s="147" t="s">
        <v>743</v>
      </c>
      <c r="E118" s="147" t="s">
        <v>358</v>
      </c>
      <c r="F118" s="147" t="s">
        <v>744</v>
      </c>
      <c r="G118" s="147" t="s">
        <v>87</v>
      </c>
      <c r="H118" s="147" t="s">
        <v>87</v>
      </c>
      <c r="I118" s="147" t="s">
        <v>87</v>
      </c>
      <c r="J118" s="147" t="s">
        <v>741</v>
      </c>
      <c r="K118" s="147" t="s">
        <v>730</v>
      </c>
      <c r="L118" s="146">
        <v>6</v>
      </c>
    </row>
    <row r="119" spans="1:12" x14ac:dyDescent="0.25">
      <c r="A119" s="159">
        <v>697238204005</v>
      </c>
      <c r="B119" s="149" t="s">
        <v>725</v>
      </c>
      <c r="C119" s="148" t="s">
        <v>726</v>
      </c>
      <c r="D119" s="147" t="s">
        <v>745</v>
      </c>
      <c r="E119" s="147" t="s">
        <v>358</v>
      </c>
      <c r="F119" s="147" t="s">
        <v>746</v>
      </c>
      <c r="G119" s="147" t="s">
        <v>87</v>
      </c>
      <c r="H119" s="147" t="s">
        <v>87</v>
      </c>
      <c r="I119" s="147" t="s">
        <v>87</v>
      </c>
      <c r="J119" s="147" t="s">
        <v>729</v>
      </c>
      <c r="K119" s="147" t="s">
        <v>730</v>
      </c>
      <c r="L119" s="146">
        <v>6.9</v>
      </c>
    </row>
    <row r="120" spans="1:12" x14ac:dyDescent="0.25">
      <c r="A120" s="159">
        <v>697238204012</v>
      </c>
      <c r="B120" s="149" t="s">
        <v>725</v>
      </c>
      <c r="C120" s="148" t="s">
        <v>726</v>
      </c>
      <c r="D120" s="147" t="s">
        <v>747</v>
      </c>
      <c r="E120" s="147" t="s">
        <v>358</v>
      </c>
      <c r="F120" s="147" t="s">
        <v>746</v>
      </c>
      <c r="G120" s="147" t="s">
        <v>87</v>
      </c>
      <c r="H120" s="147" t="s">
        <v>87</v>
      </c>
      <c r="I120" s="147" t="s">
        <v>87</v>
      </c>
      <c r="J120" s="147" t="s">
        <v>729</v>
      </c>
      <c r="K120" s="147" t="s">
        <v>730</v>
      </c>
      <c r="L120" s="146">
        <v>6.9</v>
      </c>
    </row>
    <row r="121" spans="1:12" x14ac:dyDescent="0.25">
      <c r="A121" s="160">
        <v>697238204029</v>
      </c>
      <c r="B121" s="153" t="s">
        <v>725</v>
      </c>
      <c r="C121" s="152" t="s">
        <v>726</v>
      </c>
      <c r="D121" s="151" t="s">
        <v>748</v>
      </c>
      <c r="E121" s="151" t="s">
        <v>358</v>
      </c>
      <c r="F121" s="151" t="s">
        <v>746</v>
      </c>
      <c r="G121" s="151" t="s">
        <v>299</v>
      </c>
      <c r="H121" s="151" t="s">
        <v>617</v>
      </c>
      <c r="I121" s="151" t="s">
        <v>87</v>
      </c>
      <c r="J121" s="151" t="s">
        <v>729</v>
      </c>
      <c r="K121" s="151" t="s">
        <v>730</v>
      </c>
      <c r="L121" s="150">
        <v>6.9</v>
      </c>
    </row>
    <row r="122" spans="1:12" x14ac:dyDescent="0.25">
      <c r="A122" s="159">
        <v>697238204036</v>
      </c>
      <c r="B122" s="149" t="s">
        <v>725</v>
      </c>
      <c r="C122" s="148" t="s">
        <v>726</v>
      </c>
      <c r="D122" s="147" t="s">
        <v>749</v>
      </c>
      <c r="E122" s="147" t="s">
        <v>358</v>
      </c>
      <c r="F122" s="147" t="s">
        <v>746</v>
      </c>
      <c r="G122" s="147" t="s">
        <v>87</v>
      </c>
      <c r="H122" s="147" t="s">
        <v>738</v>
      </c>
      <c r="I122" s="147" t="s">
        <v>732</v>
      </c>
      <c r="J122" s="147" t="s">
        <v>729</v>
      </c>
      <c r="K122" s="147" t="s">
        <v>730</v>
      </c>
      <c r="L122" s="146">
        <v>6.9</v>
      </c>
    </row>
    <row r="123" spans="1:12" x14ac:dyDescent="0.25">
      <c r="A123" s="159">
        <v>697238205026</v>
      </c>
      <c r="B123" s="149" t="s">
        <v>725</v>
      </c>
      <c r="C123" s="148" t="s">
        <v>726</v>
      </c>
      <c r="D123" s="147" t="s">
        <v>750</v>
      </c>
      <c r="E123" s="147" t="s">
        <v>358</v>
      </c>
      <c r="F123" s="147" t="s">
        <v>751</v>
      </c>
      <c r="G123" s="147" t="s">
        <v>87</v>
      </c>
      <c r="H123" s="147" t="s">
        <v>87</v>
      </c>
      <c r="I123" s="147" t="s">
        <v>87</v>
      </c>
      <c r="J123" s="147" t="s">
        <v>729</v>
      </c>
      <c r="K123" s="147" t="s">
        <v>730</v>
      </c>
      <c r="L123" s="146">
        <v>4.9000000000000004</v>
      </c>
    </row>
    <row r="124" spans="1:12" x14ac:dyDescent="0.25">
      <c r="A124" s="159">
        <v>697238205033</v>
      </c>
      <c r="B124" s="149" t="s">
        <v>725</v>
      </c>
      <c r="C124" s="148" t="s">
        <v>726</v>
      </c>
      <c r="D124" s="147" t="s">
        <v>752</v>
      </c>
      <c r="E124" s="147" t="s">
        <v>358</v>
      </c>
      <c r="F124" s="147" t="s">
        <v>751</v>
      </c>
      <c r="G124" s="147" t="s">
        <v>87</v>
      </c>
      <c r="H124" s="147" t="s">
        <v>87</v>
      </c>
      <c r="I124" s="147" t="s">
        <v>87</v>
      </c>
      <c r="J124" s="147" t="s">
        <v>729</v>
      </c>
      <c r="K124" s="147" t="s">
        <v>730</v>
      </c>
      <c r="L124" s="146">
        <v>4.9000000000000004</v>
      </c>
    </row>
    <row r="125" spans="1:12" x14ac:dyDescent="0.25">
      <c r="A125" s="160">
        <v>697238205088</v>
      </c>
      <c r="B125" s="153" t="s">
        <v>725</v>
      </c>
      <c r="C125" s="152" t="s">
        <v>726</v>
      </c>
      <c r="D125" s="151" t="s">
        <v>753</v>
      </c>
      <c r="E125" s="151" t="s">
        <v>358</v>
      </c>
      <c r="F125" s="151" t="s">
        <v>754</v>
      </c>
      <c r="G125" s="151" t="s">
        <v>87</v>
      </c>
      <c r="H125" s="151" t="s">
        <v>87</v>
      </c>
      <c r="I125" s="151" t="s">
        <v>87</v>
      </c>
      <c r="J125" s="151" t="s">
        <v>729</v>
      </c>
      <c r="K125" s="151" t="s">
        <v>730</v>
      </c>
      <c r="L125" s="150">
        <v>4.9000000000000004</v>
      </c>
    </row>
    <row r="126" spans="1:12" x14ac:dyDescent="0.25">
      <c r="A126" s="159">
        <v>697238205095</v>
      </c>
      <c r="B126" s="149" t="s">
        <v>725</v>
      </c>
      <c r="C126" s="148" t="s">
        <v>726</v>
      </c>
      <c r="D126" s="147" t="s">
        <v>755</v>
      </c>
      <c r="E126" s="147" t="s">
        <v>358</v>
      </c>
      <c r="F126" s="147" t="s">
        <v>754</v>
      </c>
      <c r="G126" s="147" t="s">
        <v>87</v>
      </c>
      <c r="H126" s="147" t="s">
        <v>87</v>
      </c>
      <c r="I126" s="147" t="s">
        <v>87</v>
      </c>
      <c r="J126" s="147" t="s">
        <v>729</v>
      </c>
      <c r="K126" s="147" t="s">
        <v>730</v>
      </c>
      <c r="L126" s="146">
        <v>4.9000000000000004</v>
      </c>
    </row>
    <row r="127" spans="1:12" x14ac:dyDescent="0.25">
      <c r="A127" s="160">
        <v>697238207020</v>
      </c>
      <c r="B127" s="153" t="s">
        <v>725</v>
      </c>
      <c r="C127" s="152" t="s">
        <v>726</v>
      </c>
      <c r="D127" s="151" t="s">
        <v>56</v>
      </c>
      <c r="E127" s="151" t="s">
        <v>358</v>
      </c>
      <c r="F127" s="151" t="s">
        <v>756</v>
      </c>
      <c r="G127" s="151" t="s">
        <v>87</v>
      </c>
      <c r="H127" s="151" t="s">
        <v>757</v>
      </c>
      <c r="I127" s="151" t="s">
        <v>87</v>
      </c>
      <c r="J127" s="151" t="s">
        <v>729</v>
      </c>
      <c r="K127" s="151" t="s">
        <v>730</v>
      </c>
      <c r="L127" s="150">
        <v>6.5</v>
      </c>
    </row>
    <row r="128" spans="1:12" x14ac:dyDescent="0.25">
      <c r="A128" s="160">
        <v>697238207037</v>
      </c>
      <c r="B128" s="153" t="s">
        <v>725</v>
      </c>
      <c r="C128" s="152" t="s">
        <v>726</v>
      </c>
      <c r="D128" s="151" t="s">
        <v>758</v>
      </c>
      <c r="E128" s="151" t="s">
        <v>358</v>
      </c>
      <c r="F128" s="151" t="s">
        <v>756</v>
      </c>
      <c r="G128" s="151" t="s">
        <v>87</v>
      </c>
      <c r="H128" s="151" t="s">
        <v>87</v>
      </c>
      <c r="I128" s="151" t="s">
        <v>87</v>
      </c>
      <c r="J128" s="151" t="s">
        <v>729</v>
      </c>
      <c r="K128" s="151" t="s">
        <v>730</v>
      </c>
      <c r="L128" s="150">
        <v>6.5</v>
      </c>
    </row>
    <row r="129" spans="1:12" x14ac:dyDescent="0.25">
      <c r="A129" s="159">
        <v>697238207051</v>
      </c>
      <c r="B129" s="149" t="s">
        <v>725</v>
      </c>
      <c r="C129" s="148" t="s">
        <v>726</v>
      </c>
      <c r="D129" s="147" t="s">
        <v>755</v>
      </c>
      <c r="E129" s="147" t="s">
        <v>358</v>
      </c>
      <c r="F129" s="147" t="s">
        <v>756</v>
      </c>
      <c r="G129" s="147" t="s">
        <v>87</v>
      </c>
      <c r="H129" s="147" t="s">
        <v>87</v>
      </c>
      <c r="I129" s="147" t="s">
        <v>87</v>
      </c>
      <c r="J129" s="147" t="s">
        <v>729</v>
      </c>
      <c r="K129" s="147" t="s">
        <v>730</v>
      </c>
      <c r="L129" s="146">
        <v>6.5</v>
      </c>
    </row>
    <row r="130" spans="1:12" x14ac:dyDescent="0.25">
      <c r="A130" s="159">
        <v>826966011801</v>
      </c>
      <c r="B130" s="149" t="s">
        <v>725</v>
      </c>
      <c r="C130" s="148" t="s">
        <v>726</v>
      </c>
      <c r="D130" s="147" t="s">
        <v>759</v>
      </c>
      <c r="E130" s="147" t="s">
        <v>358</v>
      </c>
      <c r="F130" s="147" t="s">
        <v>760</v>
      </c>
      <c r="G130" s="147" t="s">
        <v>87</v>
      </c>
      <c r="H130" s="147" t="s">
        <v>87</v>
      </c>
      <c r="I130" s="147" t="s">
        <v>87</v>
      </c>
      <c r="J130" s="147" t="s">
        <v>761</v>
      </c>
      <c r="K130" s="147" t="s">
        <v>730</v>
      </c>
      <c r="L130" s="146">
        <v>5.3</v>
      </c>
    </row>
    <row r="131" spans="1:12" x14ac:dyDescent="0.25">
      <c r="A131" s="160">
        <v>826966011818</v>
      </c>
      <c r="B131" s="153" t="s">
        <v>725</v>
      </c>
      <c r="C131" s="152" t="s">
        <v>726</v>
      </c>
      <c r="D131" s="151" t="s">
        <v>83</v>
      </c>
      <c r="E131" s="151" t="s">
        <v>358</v>
      </c>
      <c r="F131" s="151" t="s">
        <v>760</v>
      </c>
      <c r="G131" s="151" t="s">
        <v>87</v>
      </c>
      <c r="H131" s="151" t="s">
        <v>87</v>
      </c>
      <c r="I131" s="151" t="s">
        <v>87</v>
      </c>
      <c r="J131" s="151" t="s">
        <v>761</v>
      </c>
      <c r="K131" s="151" t="s">
        <v>730</v>
      </c>
      <c r="L131" s="150">
        <v>5.3</v>
      </c>
    </row>
    <row r="132" spans="1:12" x14ac:dyDescent="0.25">
      <c r="A132" s="159">
        <v>826966011825</v>
      </c>
      <c r="B132" s="149" t="s">
        <v>725</v>
      </c>
      <c r="C132" s="148" t="s">
        <v>726</v>
      </c>
      <c r="D132" s="147" t="s">
        <v>84</v>
      </c>
      <c r="E132" s="147" t="s">
        <v>358</v>
      </c>
      <c r="F132" s="147" t="s">
        <v>760</v>
      </c>
      <c r="G132" s="147" t="s">
        <v>87</v>
      </c>
      <c r="H132" s="147" t="s">
        <v>87</v>
      </c>
      <c r="I132" s="147" t="s">
        <v>87</v>
      </c>
      <c r="J132" s="147" t="s">
        <v>761</v>
      </c>
      <c r="K132" s="147" t="s">
        <v>730</v>
      </c>
      <c r="L132" s="146">
        <v>5.3</v>
      </c>
    </row>
    <row r="133" spans="1:12" x14ac:dyDescent="0.25">
      <c r="A133" s="160">
        <v>826966012525</v>
      </c>
      <c r="B133" s="153" t="s">
        <v>725</v>
      </c>
      <c r="C133" s="152" t="s">
        <v>726</v>
      </c>
      <c r="D133" s="151" t="s">
        <v>762</v>
      </c>
      <c r="E133" s="151" t="s">
        <v>358</v>
      </c>
      <c r="F133" s="151" t="s">
        <v>760</v>
      </c>
      <c r="G133" s="151" t="s">
        <v>87</v>
      </c>
      <c r="H133" s="151" t="s">
        <v>87</v>
      </c>
      <c r="I133" s="151" t="s">
        <v>87</v>
      </c>
      <c r="J133" s="151" t="s">
        <v>729</v>
      </c>
      <c r="K133" s="151" t="s">
        <v>730</v>
      </c>
      <c r="L133" s="150">
        <v>5.8</v>
      </c>
    </row>
    <row r="134" spans="1:12" x14ac:dyDescent="0.25">
      <c r="A134" s="159">
        <v>826966012532</v>
      </c>
      <c r="B134" s="149" t="s">
        <v>725</v>
      </c>
      <c r="C134" s="148" t="s">
        <v>726</v>
      </c>
      <c r="D134" s="147" t="s">
        <v>763</v>
      </c>
      <c r="E134" s="147" t="s">
        <v>358</v>
      </c>
      <c r="F134" s="147" t="s">
        <v>760</v>
      </c>
      <c r="G134" s="147" t="s">
        <v>87</v>
      </c>
      <c r="H134" s="147" t="s">
        <v>87</v>
      </c>
      <c r="I134" s="147" t="s">
        <v>87</v>
      </c>
      <c r="J134" s="147" t="s">
        <v>729</v>
      </c>
      <c r="K134" s="147" t="s">
        <v>730</v>
      </c>
      <c r="L134" s="146">
        <v>5.8</v>
      </c>
    </row>
    <row r="135" spans="1:12" x14ac:dyDescent="0.25">
      <c r="A135" s="160">
        <v>826966012792</v>
      </c>
      <c r="B135" s="153" t="s">
        <v>725</v>
      </c>
      <c r="C135" s="152" t="s">
        <v>726</v>
      </c>
      <c r="D135" s="151" t="s">
        <v>81</v>
      </c>
      <c r="E135" s="151" t="s">
        <v>358</v>
      </c>
      <c r="F135" s="151" t="s">
        <v>760</v>
      </c>
      <c r="G135" s="151" t="s">
        <v>87</v>
      </c>
      <c r="H135" s="151" t="s">
        <v>87</v>
      </c>
      <c r="I135" s="151" t="s">
        <v>87</v>
      </c>
      <c r="J135" s="151" t="s">
        <v>761</v>
      </c>
      <c r="K135" s="151" t="s">
        <v>730</v>
      </c>
      <c r="L135" s="150">
        <v>5.3</v>
      </c>
    </row>
    <row r="136" spans="1:12" x14ac:dyDescent="0.25">
      <c r="A136" s="160">
        <v>826966012808</v>
      </c>
      <c r="B136" s="153" t="s">
        <v>725</v>
      </c>
      <c r="C136" s="152" t="s">
        <v>726</v>
      </c>
      <c r="D136" s="151" t="s">
        <v>764</v>
      </c>
      <c r="E136" s="151" t="s">
        <v>358</v>
      </c>
      <c r="F136" s="151" t="s">
        <v>765</v>
      </c>
      <c r="G136" s="151" t="s">
        <v>87</v>
      </c>
      <c r="H136" s="151" t="s">
        <v>87</v>
      </c>
      <c r="I136" s="151" t="s">
        <v>87</v>
      </c>
      <c r="J136" s="151" t="s">
        <v>761</v>
      </c>
      <c r="K136" s="151" t="s">
        <v>730</v>
      </c>
      <c r="L136" s="150">
        <v>6.5</v>
      </c>
    </row>
    <row r="137" spans="1:12" x14ac:dyDescent="0.25">
      <c r="A137" s="159">
        <v>826966012822</v>
      </c>
      <c r="B137" s="149" t="s">
        <v>725</v>
      </c>
      <c r="C137" s="148" t="s">
        <v>726</v>
      </c>
      <c r="D137" s="147" t="s">
        <v>766</v>
      </c>
      <c r="E137" s="147" t="s">
        <v>358</v>
      </c>
      <c r="F137" s="147" t="s">
        <v>765</v>
      </c>
      <c r="G137" s="147" t="s">
        <v>87</v>
      </c>
      <c r="H137" s="147" t="s">
        <v>87</v>
      </c>
      <c r="I137" s="147" t="s">
        <v>87</v>
      </c>
      <c r="J137" s="147" t="s">
        <v>761</v>
      </c>
      <c r="K137" s="147" t="s">
        <v>730</v>
      </c>
      <c r="L137" s="146">
        <v>6.5</v>
      </c>
    </row>
    <row r="138" spans="1:12" x14ac:dyDescent="0.25">
      <c r="A138" s="159">
        <v>876560000053</v>
      </c>
      <c r="B138" s="149" t="s">
        <v>725</v>
      </c>
      <c r="C138" s="148" t="s">
        <v>726</v>
      </c>
      <c r="D138" s="147" t="s">
        <v>57</v>
      </c>
      <c r="E138" s="147" t="s">
        <v>358</v>
      </c>
      <c r="F138" s="147" t="s">
        <v>767</v>
      </c>
      <c r="G138" s="147" t="s">
        <v>87</v>
      </c>
      <c r="H138" s="147" t="s">
        <v>732</v>
      </c>
      <c r="I138" s="147" t="s">
        <v>757</v>
      </c>
      <c r="J138" s="147" t="s">
        <v>729</v>
      </c>
      <c r="K138" s="147" t="s">
        <v>730</v>
      </c>
      <c r="L138" s="146">
        <v>5.9</v>
      </c>
    </row>
    <row r="139" spans="1:12" x14ac:dyDescent="0.25">
      <c r="A139" s="159">
        <v>876560000060</v>
      </c>
      <c r="B139" s="149" t="s">
        <v>725</v>
      </c>
      <c r="C139" s="148" t="s">
        <v>726</v>
      </c>
      <c r="D139" s="147" t="s">
        <v>58</v>
      </c>
      <c r="E139" s="147" t="s">
        <v>358</v>
      </c>
      <c r="F139" s="147" t="s">
        <v>767</v>
      </c>
      <c r="G139" s="147" t="s">
        <v>87</v>
      </c>
      <c r="H139" s="147" t="s">
        <v>732</v>
      </c>
      <c r="I139" s="147" t="s">
        <v>738</v>
      </c>
      <c r="J139" s="147" t="s">
        <v>729</v>
      </c>
      <c r="K139" s="147" t="s">
        <v>730</v>
      </c>
      <c r="L139" s="146">
        <v>5.9</v>
      </c>
    </row>
    <row r="140" spans="1:12" ht="15.75" thickBot="1" x14ac:dyDescent="0.3"/>
    <row r="141" spans="1:12" x14ac:dyDescent="0.25">
      <c r="A141" s="645" t="s">
        <v>768</v>
      </c>
      <c r="B141" s="646"/>
      <c r="C141" s="646"/>
      <c r="D141" s="646"/>
      <c r="E141" s="646"/>
      <c r="F141" s="646"/>
      <c r="G141" s="646"/>
      <c r="H141" s="646"/>
      <c r="I141" s="646"/>
      <c r="J141" s="646"/>
      <c r="K141" s="646"/>
      <c r="L141" s="647"/>
    </row>
    <row r="142" spans="1:12" ht="15.75" thickBot="1" x14ac:dyDescent="0.3">
      <c r="A142" s="648"/>
      <c r="B142" s="649"/>
      <c r="C142" s="649"/>
      <c r="D142" s="649"/>
      <c r="E142" s="649"/>
      <c r="F142" s="649"/>
      <c r="G142" s="649"/>
      <c r="H142" s="649"/>
      <c r="I142" s="649"/>
      <c r="J142" s="649"/>
      <c r="K142" s="649"/>
      <c r="L142" s="650"/>
    </row>
    <row r="144" spans="1:12" x14ac:dyDescent="0.25">
      <c r="A144" s="156" t="s">
        <v>251</v>
      </c>
      <c r="B144" s="156" t="s">
        <v>252</v>
      </c>
      <c r="C144" s="155" t="s">
        <v>253</v>
      </c>
      <c r="D144" s="154" t="s">
        <v>250</v>
      </c>
      <c r="E144" s="154" t="s">
        <v>255</v>
      </c>
      <c r="F144" s="154" t="s">
        <v>4</v>
      </c>
      <c r="G144" s="154" t="s">
        <v>256</v>
      </c>
      <c r="H144" s="154" t="s">
        <v>609</v>
      </c>
      <c r="I144" s="154" t="s">
        <v>610</v>
      </c>
      <c r="J144" s="154" t="s">
        <v>5</v>
      </c>
      <c r="K144" s="154" t="s">
        <v>611</v>
      </c>
      <c r="L144" s="154" t="s">
        <v>6</v>
      </c>
    </row>
    <row r="145" spans="1:12" x14ac:dyDescent="0.25">
      <c r="A145" s="159">
        <v>628011336002</v>
      </c>
      <c r="B145" s="149" t="s">
        <v>725</v>
      </c>
      <c r="C145" s="148" t="s">
        <v>726</v>
      </c>
      <c r="D145" s="147" t="s">
        <v>769</v>
      </c>
      <c r="E145" s="147" t="s">
        <v>358</v>
      </c>
      <c r="F145" s="147" t="s">
        <v>770</v>
      </c>
      <c r="G145" s="147" t="s">
        <v>87</v>
      </c>
      <c r="H145" s="147" t="s">
        <v>87</v>
      </c>
      <c r="I145" s="147" t="s">
        <v>87</v>
      </c>
      <c r="J145" s="147" t="s">
        <v>771</v>
      </c>
      <c r="K145" s="147" t="s">
        <v>772</v>
      </c>
      <c r="L145" s="146">
        <v>14</v>
      </c>
    </row>
    <row r="146" spans="1:12" x14ac:dyDescent="0.25">
      <c r="A146" s="159">
        <v>628011336019</v>
      </c>
      <c r="B146" s="149" t="s">
        <v>725</v>
      </c>
      <c r="C146" s="148" t="s">
        <v>726</v>
      </c>
      <c r="D146" s="147" t="s">
        <v>773</v>
      </c>
      <c r="E146" s="147" t="s">
        <v>358</v>
      </c>
      <c r="F146" s="147" t="s">
        <v>770</v>
      </c>
      <c r="G146" s="147" t="s">
        <v>87</v>
      </c>
      <c r="H146" s="147" t="s">
        <v>87</v>
      </c>
      <c r="I146" s="147" t="s">
        <v>87</v>
      </c>
      <c r="J146" s="147" t="s">
        <v>771</v>
      </c>
      <c r="K146" s="147" t="s">
        <v>772</v>
      </c>
      <c r="L146" s="146">
        <v>14</v>
      </c>
    </row>
    <row r="147" spans="1:12" x14ac:dyDescent="0.25">
      <c r="A147" s="160">
        <v>628011336026</v>
      </c>
      <c r="B147" s="153" t="s">
        <v>725</v>
      </c>
      <c r="C147" s="152" t="s">
        <v>726</v>
      </c>
      <c r="D147" s="151" t="s">
        <v>774</v>
      </c>
      <c r="E147" s="151" t="s">
        <v>358</v>
      </c>
      <c r="F147" s="151" t="s">
        <v>770</v>
      </c>
      <c r="G147" s="151" t="s">
        <v>87</v>
      </c>
      <c r="H147" s="151" t="s">
        <v>87</v>
      </c>
      <c r="I147" s="151" t="s">
        <v>87</v>
      </c>
      <c r="J147" s="151" t="s">
        <v>771</v>
      </c>
      <c r="K147" s="151" t="s">
        <v>772</v>
      </c>
      <c r="L147" s="150">
        <v>14</v>
      </c>
    </row>
    <row r="148" spans="1:12" x14ac:dyDescent="0.25">
      <c r="A148" s="160">
        <v>628011336200</v>
      </c>
      <c r="B148" s="153" t="s">
        <v>725</v>
      </c>
      <c r="C148" s="152" t="s">
        <v>726</v>
      </c>
      <c r="D148" s="151" t="s">
        <v>773</v>
      </c>
      <c r="E148" s="151" t="s">
        <v>358</v>
      </c>
      <c r="F148" s="151" t="s">
        <v>770</v>
      </c>
      <c r="G148" s="151" t="s">
        <v>87</v>
      </c>
      <c r="H148" s="151" t="s">
        <v>87</v>
      </c>
      <c r="I148" s="151" t="s">
        <v>87</v>
      </c>
      <c r="J148" s="151" t="s">
        <v>775</v>
      </c>
      <c r="K148" s="151" t="s">
        <v>772</v>
      </c>
      <c r="L148" s="150">
        <v>14</v>
      </c>
    </row>
    <row r="149" spans="1:12" x14ac:dyDescent="0.25">
      <c r="A149" s="159">
        <v>628011336217</v>
      </c>
      <c r="B149" s="149" t="s">
        <v>725</v>
      </c>
      <c r="C149" s="148" t="s">
        <v>726</v>
      </c>
      <c r="D149" s="147" t="s">
        <v>774</v>
      </c>
      <c r="E149" s="147" t="s">
        <v>358</v>
      </c>
      <c r="F149" s="147" t="s">
        <v>770</v>
      </c>
      <c r="G149" s="147" t="s">
        <v>87</v>
      </c>
      <c r="H149" s="147" t="s">
        <v>87</v>
      </c>
      <c r="I149" s="147" t="s">
        <v>87</v>
      </c>
      <c r="J149" s="147" t="s">
        <v>775</v>
      </c>
      <c r="K149" s="147" t="s">
        <v>772</v>
      </c>
      <c r="L149" s="146">
        <v>14</v>
      </c>
    </row>
    <row r="150" spans="1:12" x14ac:dyDescent="0.25">
      <c r="A150" s="159">
        <v>826966011870</v>
      </c>
      <c r="B150" s="149" t="s">
        <v>725</v>
      </c>
      <c r="C150" s="148" t="s">
        <v>726</v>
      </c>
      <c r="D150" s="147" t="s">
        <v>776</v>
      </c>
      <c r="E150" s="147" t="s">
        <v>358</v>
      </c>
      <c r="F150" s="147" t="s">
        <v>760</v>
      </c>
      <c r="G150" s="147" t="s">
        <v>87</v>
      </c>
      <c r="H150" s="147" t="s">
        <v>87</v>
      </c>
      <c r="I150" s="147" t="s">
        <v>87</v>
      </c>
      <c r="J150" s="147" t="s">
        <v>771</v>
      </c>
      <c r="K150" s="147" t="s">
        <v>772</v>
      </c>
      <c r="L150" s="146">
        <v>16.8</v>
      </c>
    </row>
    <row r="151" spans="1:12" x14ac:dyDescent="0.25">
      <c r="A151" s="160">
        <v>826966012068</v>
      </c>
      <c r="B151" s="153" t="s">
        <v>725</v>
      </c>
      <c r="C151" s="152" t="s">
        <v>726</v>
      </c>
      <c r="D151" s="151" t="s">
        <v>777</v>
      </c>
      <c r="E151" s="151" t="s">
        <v>358</v>
      </c>
      <c r="F151" s="151" t="s">
        <v>760</v>
      </c>
      <c r="G151" s="151" t="s">
        <v>87</v>
      </c>
      <c r="H151" s="151" t="s">
        <v>87</v>
      </c>
      <c r="I151" s="151" t="s">
        <v>87</v>
      </c>
      <c r="J151" s="151" t="s">
        <v>771</v>
      </c>
      <c r="K151" s="151" t="s">
        <v>772</v>
      </c>
      <c r="L151" s="150">
        <v>16.8</v>
      </c>
    </row>
    <row r="152" spans="1:12" x14ac:dyDescent="0.25">
      <c r="A152" s="160">
        <v>826966012082</v>
      </c>
      <c r="B152" s="153" t="s">
        <v>725</v>
      </c>
      <c r="C152" s="152" t="s">
        <v>726</v>
      </c>
      <c r="D152" s="151" t="s">
        <v>778</v>
      </c>
      <c r="E152" s="151" t="s">
        <v>358</v>
      </c>
      <c r="F152" s="151" t="s">
        <v>760</v>
      </c>
      <c r="G152" s="151" t="s">
        <v>87</v>
      </c>
      <c r="H152" s="151" t="s">
        <v>87</v>
      </c>
      <c r="I152" s="151" t="s">
        <v>87</v>
      </c>
      <c r="J152" s="151" t="s">
        <v>771</v>
      </c>
      <c r="K152" s="151" t="s">
        <v>772</v>
      </c>
      <c r="L152" s="150">
        <v>16.8</v>
      </c>
    </row>
    <row r="153" spans="1:12" x14ac:dyDescent="0.25">
      <c r="A153" s="159">
        <v>826966012174</v>
      </c>
      <c r="B153" s="149" t="s">
        <v>725</v>
      </c>
      <c r="C153" s="148" t="s">
        <v>726</v>
      </c>
      <c r="D153" s="147" t="s">
        <v>779</v>
      </c>
      <c r="E153" s="147" t="s">
        <v>358</v>
      </c>
      <c r="F153" s="147" t="s">
        <v>760</v>
      </c>
      <c r="G153" s="147" t="s">
        <v>87</v>
      </c>
      <c r="H153" s="147" t="s">
        <v>87</v>
      </c>
      <c r="I153" s="147" t="s">
        <v>87</v>
      </c>
      <c r="J153" s="147" t="s">
        <v>771</v>
      </c>
      <c r="K153" s="147" t="s">
        <v>772</v>
      </c>
      <c r="L153" s="146">
        <v>16.8</v>
      </c>
    </row>
    <row r="154" spans="1:12" x14ac:dyDescent="0.25">
      <c r="A154" s="160">
        <v>827763001132</v>
      </c>
      <c r="B154" s="153" t="s">
        <v>725</v>
      </c>
      <c r="C154" s="152" t="s">
        <v>726</v>
      </c>
      <c r="D154" s="151" t="s">
        <v>780</v>
      </c>
      <c r="E154" s="151" t="s">
        <v>358</v>
      </c>
      <c r="F154" s="151" t="s">
        <v>781</v>
      </c>
      <c r="G154" s="151" t="s">
        <v>87</v>
      </c>
      <c r="H154" s="151" t="s">
        <v>87</v>
      </c>
      <c r="I154" s="151" t="s">
        <v>87</v>
      </c>
      <c r="J154" s="151" t="s">
        <v>782</v>
      </c>
      <c r="K154" s="151" t="s">
        <v>772</v>
      </c>
      <c r="L154" s="150">
        <v>35</v>
      </c>
    </row>
    <row r="155" spans="1:12" x14ac:dyDescent="0.25">
      <c r="A155" s="160">
        <v>827763001156</v>
      </c>
      <c r="B155" s="153" t="s">
        <v>725</v>
      </c>
      <c r="C155" s="152" t="s">
        <v>726</v>
      </c>
      <c r="D155" s="151" t="s">
        <v>783</v>
      </c>
      <c r="E155" s="151" t="s">
        <v>358</v>
      </c>
      <c r="F155" s="151" t="s">
        <v>781</v>
      </c>
      <c r="G155" s="151" t="s">
        <v>87</v>
      </c>
      <c r="H155" s="151" t="s">
        <v>87</v>
      </c>
      <c r="I155" s="151" t="s">
        <v>87</v>
      </c>
      <c r="J155" s="151" t="s">
        <v>784</v>
      </c>
      <c r="K155" s="151" t="s">
        <v>772</v>
      </c>
      <c r="L155" s="150">
        <v>14.9</v>
      </c>
    </row>
    <row r="156" spans="1:12" x14ac:dyDescent="0.25">
      <c r="A156" s="159">
        <v>827763001255</v>
      </c>
      <c r="B156" s="149" t="s">
        <v>725</v>
      </c>
      <c r="C156" s="148" t="s">
        <v>726</v>
      </c>
      <c r="D156" s="147" t="s">
        <v>785</v>
      </c>
      <c r="E156" s="147" t="s">
        <v>358</v>
      </c>
      <c r="F156" s="147" t="s">
        <v>781</v>
      </c>
      <c r="G156" s="147" t="s">
        <v>87</v>
      </c>
      <c r="H156" s="147" t="s">
        <v>87</v>
      </c>
      <c r="I156" s="147" t="s">
        <v>87</v>
      </c>
      <c r="J156" s="147" t="s">
        <v>775</v>
      </c>
      <c r="K156" s="147" t="s">
        <v>772</v>
      </c>
      <c r="L156" s="146">
        <v>9.9</v>
      </c>
    </row>
  </sheetData>
  <mergeCells count="5">
    <mergeCell ref="A2:L3"/>
    <mergeCell ref="A42:L43"/>
    <mergeCell ref="A63:L64"/>
    <mergeCell ref="A97:L98"/>
    <mergeCell ref="A141:L142"/>
  </mergeCells>
  <conditionalFormatting sqref="A6:A40">
    <cfRule type="duplicateValues" dxfId="139" priority="4"/>
  </conditionalFormatting>
  <conditionalFormatting sqref="A46:A61">
    <cfRule type="duplicateValues" dxfId="138" priority="3"/>
  </conditionalFormatting>
  <conditionalFormatting sqref="A67:A95">
    <cfRule type="duplicateValues" dxfId="137" priority="2"/>
  </conditionalFormatting>
  <conditionalFormatting sqref="A101:A139">
    <cfRule type="duplicateValues" dxfId="136" priority="5"/>
  </conditionalFormatting>
  <conditionalFormatting sqref="A145:A156">
    <cfRule type="duplicateValues" dxfId="135" priority="1"/>
  </conditionalFormatting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94E0-9D9F-4D30-9A93-BC67E05424B5}">
  <sheetPr codeName="Feuil3">
    <tabColor theme="0" tint="-0.34998626667073579"/>
  </sheetPr>
  <dimension ref="A1:P160"/>
  <sheetViews>
    <sheetView topLeftCell="A140" zoomScale="70" zoomScaleNormal="70" workbookViewId="0">
      <selection activeCell="A156" sqref="A156"/>
    </sheetView>
  </sheetViews>
  <sheetFormatPr baseColWidth="10" defaultColWidth="11.42578125" defaultRowHeight="15" x14ac:dyDescent="0.25"/>
  <cols>
    <col min="1" max="1" width="31.7109375" bestFit="1" customWidth="1"/>
    <col min="2" max="2" width="17.7109375" customWidth="1"/>
    <col min="3" max="3" width="30.140625" customWidth="1"/>
    <col min="4" max="4" width="20.28515625" customWidth="1"/>
    <col min="5" max="5" width="30.42578125" customWidth="1"/>
    <col min="6" max="6" width="27.85546875" customWidth="1"/>
    <col min="7" max="7" width="29.5703125" customWidth="1"/>
    <col min="8" max="8" width="19" customWidth="1"/>
    <col min="9" max="9" width="13.28515625" customWidth="1"/>
    <col min="10" max="10" width="15.140625" customWidth="1"/>
    <col min="11" max="11" width="15.140625" bestFit="1" customWidth="1"/>
    <col min="12" max="12" width="15.7109375" style="83" bestFit="1" customWidth="1"/>
    <col min="13" max="13" width="25" style="83" customWidth="1"/>
    <col min="14" max="14" width="19.140625" customWidth="1"/>
  </cols>
  <sheetData>
    <row r="1" spans="1:16" ht="15.75" thickBot="1" x14ac:dyDescent="0.3"/>
    <row r="2" spans="1:16" ht="15" customHeight="1" x14ac:dyDescent="0.25">
      <c r="A2" s="645" t="s">
        <v>786</v>
      </c>
      <c r="B2" s="646"/>
      <c r="C2" s="646"/>
      <c r="D2" s="646"/>
      <c r="E2" s="646"/>
      <c r="F2" s="646"/>
      <c r="G2" s="646"/>
      <c r="H2" s="646"/>
      <c r="I2" s="646"/>
      <c r="J2" s="646"/>
      <c r="K2" s="646"/>
      <c r="L2" s="646"/>
      <c r="M2" s="646"/>
      <c r="N2" s="647"/>
    </row>
    <row r="3" spans="1:16" ht="15.75" customHeight="1" thickBot="1" x14ac:dyDescent="0.3">
      <c r="A3" s="648"/>
      <c r="B3" s="649"/>
      <c r="C3" s="649"/>
      <c r="D3" s="649"/>
      <c r="E3" s="649"/>
      <c r="F3" s="649"/>
      <c r="G3" s="649"/>
      <c r="H3" s="649"/>
      <c r="I3" s="649"/>
      <c r="J3" s="649"/>
      <c r="K3" s="649"/>
      <c r="L3" s="649"/>
      <c r="M3" s="649"/>
      <c r="N3" s="650"/>
    </row>
    <row r="5" spans="1:16" x14ac:dyDescent="0.25">
      <c r="A5" s="156" t="s">
        <v>182</v>
      </c>
      <c r="B5" s="156" t="s">
        <v>251</v>
      </c>
      <c r="C5" s="156" t="s">
        <v>252</v>
      </c>
      <c r="D5" s="156" t="s">
        <v>253</v>
      </c>
      <c r="E5" s="156" t="s">
        <v>787</v>
      </c>
      <c r="F5" s="156" t="s">
        <v>250</v>
      </c>
      <c r="G5" s="156" t="s">
        <v>255</v>
      </c>
      <c r="H5" s="156" t="s">
        <v>4</v>
      </c>
      <c r="I5" s="156" t="s">
        <v>609</v>
      </c>
      <c r="J5" s="156" t="s">
        <v>610</v>
      </c>
      <c r="K5" s="156" t="s">
        <v>5</v>
      </c>
      <c r="L5" s="156" t="s">
        <v>611</v>
      </c>
      <c r="M5" s="158" t="s">
        <v>788</v>
      </c>
      <c r="N5" s="158" t="s">
        <v>184</v>
      </c>
      <c r="O5" s="156" t="s">
        <v>6</v>
      </c>
      <c r="P5" s="156" t="s">
        <v>257</v>
      </c>
    </row>
    <row r="6" spans="1:16" ht="16.5" x14ac:dyDescent="0.3">
      <c r="A6" s="292" t="str">
        <f>_xlfn.CONCAT(donnée_haschich[[#This Row],[Nom produit]]," - ", donnée_haschich[[#This Row],[Variété]], IF(donnée_haschich[[#This Row],[Dominance ]]="-",,_xlfn.CONCAT(" (",donnée_haschich[[#This Row],[Dominance ]],")")))</f>
        <v>Afghan Black CBD - En rotation</v>
      </c>
      <c r="B6" s="293"/>
      <c r="C6" s="292" t="s">
        <v>87</v>
      </c>
      <c r="D6" s="292" t="s">
        <v>726</v>
      </c>
      <c r="E6" s="292" t="s">
        <v>87</v>
      </c>
      <c r="F6" s="493" t="s">
        <v>789</v>
      </c>
      <c r="G6" s="292" t="s">
        <v>264</v>
      </c>
      <c r="H6" s="493" t="s">
        <v>265</v>
      </c>
      <c r="I6" s="494" t="s">
        <v>790</v>
      </c>
      <c r="J6" s="494" t="s">
        <v>738</v>
      </c>
      <c r="K6" s="493" t="s">
        <v>791</v>
      </c>
      <c r="L6" s="292" t="s">
        <v>786</v>
      </c>
      <c r="M6" s="515" t="s">
        <v>792</v>
      </c>
      <c r="N6" s="515" t="s">
        <v>793</v>
      </c>
      <c r="O6" s="495">
        <v>48</v>
      </c>
      <c r="P6" s="292"/>
    </row>
    <row r="7" spans="1:16" x14ac:dyDescent="0.25">
      <c r="A7" s="292" t="str">
        <f>_xlfn.CONCAT(donnée_haschich[[#This Row],[Nom produit]]," - ", donnée_haschich[[#This Row],[Variété]], IF(donnée_haschich[[#This Row],[Dominance ]]="-",,_xlfn.CONCAT(" (",donnée_haschich[[#This Row],[Dominance ]],")")))</f>
        <v>Afghan Gold - Mélange</v>
      </c>
      <c r="B7" s="293">
        <v>628011336392</v>
      </c>
      <c r="C7" s="292" t="s">
        <v>272</v>
      </c>
      <c r="D7" s="292" t="s">
        <v>726</v>
      </c>
      <c r="E7" s="292" t="s">
        <v>87</v>
      </c>
      <c r="F7" s="305" t="s">
        <v>794</v>
      </c>
      <c r="G7" s="292" t="s">
        <v>358</v>
      </c>
      <c r="H7" s="306" t="s">
        <v>795</v>
      </c>
      <c r="I7" s="292" t="s">
        <v>87</v>
      </c>
      <c r="J7" s="292" t="s">
        <v>87</v>
      </c>
      <c r="K7" s="306" t="s">
        <v>796</v>
      </c>
      <c r="L7" s="292" t="s">
        <v>786</v>
      </c>
      <c r="M7" s="307" t="s">
        <v>797</v>
      </c>
      <c r="N7" s="307" t="s">
        <v>798</v>
      </c>
      <c r="O7" s="308">
        <v>36.6</v>
      </c>
      <c r="P7" s="292"/>
    </row>
    <row r="8" spans="1:16" ht="16.5" x14ac:dyDescent="0.3">
      <c r="A8" s="292" t="str">
        <f>_xlfn.CONCAT(donnée_haschich[[#This Row],[Nom produit]]," - ", donnée_haschich[[#This Row],[Variété]], IF(donnée_haschich[[#This Row],[Dominance ]]="-",,_xlfn.CONCAT(" (",donnée_haschich[[#This Row],[Dominance ]],")")))</f>
        <v>Attache ta Tuque - Medellin (Sativa)</v>
      </c>
      <c r="B8" s="293"/>
      <c r="C8" s="292" t="s">
        <v>272</v>
      </c>
      <c r="D8" s="292" t="s">
        <v>726</v>
      </c>
      <c r="E8" s="292" t="s">
        <v>137</v>
      </c>
      <c r="F8" s="493" t="s">
        <v>799</v>
      </c>
      <c r="G8" s="292" t="s">
        <v>476</v>
      </c>
      <c r="H8" s="493" t="s">
        <v>417</v>
      </c>
      <c r="I8" s="494" t="s">
        <v>800</v>
      </c>
      <c r="J8" s="494" t="s">
        <v>738</v>
      </c>
      <c r="K8" s="493" t="s">
        <v>791</v>
      </c>
      <c r="L8" s="292" t="s">
        <v>786</v>
      </c>
      <c r="M8" s="515" t="s">
        <v>801</v>
      </c>
      <c r="N8" s="515" t="s">
        <v>802</v>
      </c>
      <c r="O8" s="494">
        <v>46</v>
      </c>
      <c r="P8" s="292"/>
    </row>
    <row r="9" spans="1:16" ht="15.75" thickBot="1" x14ac:dyDescent="0.3">
      <c r="A9" s="292" t="str">
        <f>_xlfn.CONCAT(donnée_haschich[[#This Row],[Nom produit]]," - ", donnée_haschich[[#This Row],[Variété]], IF(donnée_haschich[[#This Row],[Dominance ]]="-",,_xlfn.CONCAT(" (",donnée_haschich[[#This Row],[Dominance ]],")")))</f>
        <v>Balle de Hash Biologique - En rotation</v>
      </c>
      <c r="B9" s="299"/>
      <c r="C9" s="298" t="s">
        <v>87</v>
      </c>
      <c r="D9" s="298"/>
      <c r="E9" s="298" t="s">
        <v>87</v>
      </c>
      <c r="F9" s="310" t="s">
        <v>803</v>
      </c>
      <c r="G9" s="298" t="s">
        <v>264</v>
      </c>
      <c r="H9" s="311" t="s">
        <v>346</v>
      </c>
      <c r="I9" s="298"/>
      <c r="J9" s="298"/>
      <c r="K9" s="311" t="s">
        <v>796</v>
      </c>
      <c r="L9" s="298"/>
      <c r="M9" s="309" t="s">
        <v>804</v>
      </c>
      <c r="N9" s="309" t="s">
        <v>798</v>
      </c>
      <c r="O9" s="312">
        <v>40.5</v>
      </c>
      <c r="P9" s="292"/>
    </row>
    <row r="10" spans="1:16" ht="15.75" thickBot="1" x14ac:dyDescent="0.3">
      <c r="A10" s="292" t="str">
        <f>_xlfn.CONCAT(donnée_haschich[[#This Row],[Nom produit]]," - ", donnée_haschich[[#This Row],[Variété]], IF(donnée_haschich[[#This Row],[Dominance ]]="-",,_xlfn.CONCAT(" (",donnée_haschich[[#This Row],[Dominance ]],")")))</f>
        <v>Bleu Nuit - Blue Dream (Sativa)</v>
      </c>
      <c r="B10" s="299">
        <v>688318000372</v>
      </c>
      <c r="C10" s="298" t="s">
        <v>87</v>
      </c>
      <c r="D10" s="298" t="s">
        <v>726</v>
      </c>
      <c r="E10" s="298" t="s">
        <v>137</v>
      </c>
      <c r="F10" s="310" t="s">
        <v>449</v>
      </c>
      <c r="G10" s="298" t="s">
        <v>451</v>
      </c>
      <c r="H10" s="311" t="s">
        <v>452</v>
      </c>
      <c r="I10" s="298" t="s">
        <v>732</v>
      </c>
      <c r="J10" s="309" t="s">
        <v>737</v>
      </c>
      <c r="K10" s="311" t="s">
        <v>796</v>
      </c>
      <c r="L10" s="298" t="s">
        <v>786</v>
      </c>
      <c r="M10" s="298" t="s">
        <v>805</v>
      </c>
      <c r="N10" s="309" t="s">
        <v>806</v>
      </c>
      <c r="O10" s="312">
        <v>54.9</v>
      </c>
      <c r="P10" s="292"/>
    </row>
    <row r="11" spans="1:16" ht="15.75" thickBot="1" x14ac:dyDescent="0.3">
      <c r="A11" s="292" t="str">
        <f>_xlfn.CONCAT(donnée_haschich[[#This Row],[Nom produit]]," - ", donnée_haschich[[#This Row],[Variété]], IF(donnée_haschich[[#This Row],[Dominance ]]="-",,_xlfn.CONCAT(" (",donnée_haschich[[#This Row],[Dominance ]],")")))</f>
        <v>Bon Vieux Hash - Mélange</v>
      </c>
      <c r="B11" s="299">
        <v>694144013578</v>
      </c>
      <c r="C11" s="298" t="s">
        <v>87</v>
      </c>
      <c r="D11" s="298" t="s">
        <v>726</v>
      </c>
      <c r="E11" s="298" t="s">
        <v>87</v>
      </c>
      <c r="F11" s="310" t="s">
        <v>807</v>
      </c>
      <c r="G11" s="298" t="s">
        <v>358</v>
      </c>
      <c r="H11" s="311" t="s">
        <v>220</v>
      </c>
      <c r="I11" s="298" t="s">
        <v>808</v>
      </c>
      <c r="J11" s="309" t="s">
        <v>87</v>
      </c>
      <c r="K11" s="311" t="s">
        <v>796</v>
      </c>
      <c r="L11" s="298" t="s">
        <v>786</v>
      </c>
      <c r="M11" s="292" t="s">
        <v>805</v>
      </c>
      <c r="N11" s="292" t="s">
        <v>806</v>
      </c>
      <c r="O11" s="312">
        <v>26.8</v>
      </c>
      <c r="P11" s="292"/>
    </row>
    <row r="12" spans="1:16" ht="15.75" thickBot="1" x14ac:dyDescent="0.3">
      <c r="A12" s="292" t="str">
        <f>_xlfn.CONCAT(donnée_haschich[[#This Row],[Nom produit]]," - ", donnée_haschich[[#This Row],[Variété]], IF(donnée_haschich[[#This Row],[Dominance ]]="-",,_xlfn.CONCAT(" (",donnée_haschich[[#This Row],[Dominance ]],")")))</f>
        <v>Boule de Laine - Mélange</v>
      </c>
      <c r="B12" s="299">
        <v>820939001530</v>
      </c>
      <c r="C12" s="299" t="s">
        <v>87</v>
      </c>
      <c r="D12" s="298" t="s">
        <v>809</v>
      </c>
      <c r="E12" s="298" t="s">
        <v>87</v>
      </c>
      <c r="F12" s="298" t="s">
        <v>810</v>
      </c>
      <c r="G12" s="298" t="s">
        <v>358</v>
      </c>
      <c r="H12" s="298" t="s">
        <v>243</v>
      </c>
      <c r="I12" s="300" t="s">
        <v>616</v>
      </c>
      <c r="J12" s="309" t="s">
        <v>617</v>
      </c>
      <c r="K12" s="298" t="s">
        <v>796</v>
      </c>
      <c r="L12" s="298" t="s">
        <v>786</v>
      </c>
      <c r="M12" s="309" t="s">
        <v>797</v>
      </c>
      <c r="N12" s="309" t="s">
        <v>798</v>
      </c>
      <c r="O12" s="300">
        <v>27.6</v>
      </c>
      <c r="P12" s="292"/>
    </row>
    <row r="13" spans="1:16" x14ac:dyDescent="0.25">
      <c r="A13" s="292" t="str">
        <f>_xlfn.CONCAT(donnée_haschich[[#This Row],[Nom produit]]," - ", donnée_haschich[[#This Row],[Variété]], IF(donnée_haschich[[#This Row],[Dominance ]]="-",,_xlfn.CONCAT(" (",donnée_haschich[[#This Row],[Dominance ]],")")))</f>
        <v>Brique de Haschich - Mélange</v>
      </c>
      <c r="B13" s="333">
        <v>675136002855</v>
      </c>
      <c r="C13" s="309" t="s">
        <v>87</v>
      </c>
      <c r="D13" s="309" t="s">
        <v>726</v>
      </c>
      <c r="E13" s="309" t="s">
        <v>87</v>
      </c>
      <c r="F13" s="313" t="s">
        <v>811</v>
      </c>
      <c r="G13" s="309" t="s">
        <v>358</v>
      </c>
      <c r="H13" s="314" t="s">
        <v>812</v>
      </c>
      <c r="I13" s="309" t="s">
        <v>790</v>
      </c>
      <c r="J13" s="309" t="s">
        <v>738</v>
      </c>
      <c r="K13" s="314" t="s">
        <v>796</v>
      </c>
      <c r="L13" s="309" t="s">
        <v>786</v>
      </c>
      <c r="M13" s="309" t="s">
        <v>87</v>
      </c>
      <c r="N13" s="292" t="s">
        <v>87</v>
      </c>
      <c r="O13" s="334">
        <v>46</v>
      </c>
      <c r="P13" s="292"/>
    </row>
    <row r="14" spans="1:16" x14ac:dyDescent="0.25">
      <c r="A14" s="292" t="str">
        <f>_xlfn.CONCAT(donnée_haschich[[#This Row],[Nom produit]]," - ", donnée_haschich[[#This Row],[Variété]], IF(donnée_haschich[[#This Row],[Dominance ]]="-",,_xlfn.CONCAT(" (",donnée_haschich[[#This Row],[Dominance ]],")")))</f>
        <v>Bubble Crumble - Mélange</v>
      </c>
      <c r="B14" s="293">
        <v>875429000517</v>
      </c>
      <c r="C14" s="293" t="s">
        <v>272</v>
      </c>
      <c r="D14" s="309" t="s">
        <v>809</v>
      </c>
      <c r="E14" s="292" t="s">
        <v>87</v>
      </c>
      <c r="F14" s="292" t="s">
        <v>813</v>
      </c>
      <c r="G14" s="292" t="s">
        <v>358</v>
      </c>
      <c r="H14" s="292" t="s">
        <v>814</v>
      </c>
      <c r="I14" s="294" t="s">
        <v>738</v>
      </c>
      <c r="J14" s="292" t="s">
        <v>800</v>
      </c>
      <c r="K14" s="292" t="s">
        <v>245</v>
      </c>
      <c r="L14" s="309" t="s">
        <v>786</v>
      </c>
      <c r="M14" s="307" t="s">
        <v>815</v>
      </c>
      <c r="N14" s="307" t="s">
        <v>806</v>
      </c>
      <c r="O14" s="294">
        <v>49</v>
      </c>
      <c r="P14" s="292"/>
    </row>
    <row r="15" spans="1:16" x14ac:dyDescent="0.25">
      <c r="A15" s="292" t="str">
        <f>_xlfn.CONCAT(donnée_haschich[[#This Row],[Nom produit]]," - ", donnée_haschich[[#This Row],[Variété]], IF(donnée_haschich[[#This Row],[Dominance ]]="-",,_xlfn.CONCAT(" (",donnée_haschich[[#This Row],[Dominance ]],")")))</f>
        <v>Bubble Hash - Mélange</v>
      </c>
      <c r="B15" s="293">
        <v>800447000874</v>
      </c>
      <c r="C15" s="292" t="s">
        <v>87</v>
      </c>
      <c r="D15" s="309" t="s">
        <v>726</v>
      </c>
      <c r="E15" s="292" t="s">
        <v>87</v>
      </c>
      <c r="F15" s="305" t="s">
        <v>816</v>
      </c>
      <c r="G15" s="292" t="s">
        <v>358</v>
      </c>
      <c r="H15" s="306" t="s">
        <v>721</v>
      </c>
      <c r="I15" s="292" t="s">
        <v>790</v>
      </c>
      <c r="J15" s="292" t="s">
        <v>757</v>
      </c>
      <c r="K15" s="306" t="s">
        <v>796</v>
      </c>
      <c r="L15" s="309" t="s">
        <v>786</v>
      </c>
      <c r="M15" s="307" t="s">
        <v>797</v>
      </c>
      <c r="N15" s="307" t="s">
        <v>798</v>
      </c>
      <c r="O15" s="308">
        <v>41.5</v>
      </c>
      <c r="P15" s="292"/>
    </row>
    <row r="16" spans="1:16" x14ac:dyDescent="0.25">
      <c r="A16" s="292" t="str">
        <f>_xlfn.CONCAT(donnée_haschich[[#This Row],[Nom produit]]," - ", donnée_haschich[[#This Row],[Variété]], IF(donnée_haschich[[#This Row],[Dominance ]]="-",,_xlfn.CONCAT(" (",donnée_haschich[[#This Row],[Dominance ]],")")))</f>
        <v>Carré de Hasch Lemon Haze - Lemon Haze (Sativa)</v>
      </c>
      <c r="B16" s="293">
        <v>629108290146</v>
      </c>
      <c r="C16" s="292" t="s">
        <v>87</v>
      </c>
      <c r="D16" s="309" t="s">
        <v>726</v>
      </c>
      <c r="E16" s="292" t="s">
        <v>137</v>
      </c>
      <c r="F16" s="305" t="s">
        <v>817</v>
      </c>
      <c r="G16" s="292" t="s">
        <v>473</v>
      </c>
      <c r="H16" s="306" t="s">
        <v>458</v>
      </c>
      <c r="I16" s="292" t="s">
        <v>732</v>
      </c>
      <c r="J16" s="292" t="s">
        <v>738</v>
      </c>
      <c r="K16" s="306" t="s">
        <v>796</v>
      </c>
      <c r="L16" s="309" t="s">
        <v>786</v>
      </c>
      <c r="M16" s="307" t="s">
        <v>87</v>
      </c>
      <c r="N16" s="307" t="s">
        <v>87</v>
      </c>
      <c r="O16" s="308">
        <v>26.3</v>
      </c>
      <c r="P16" s="292"/>
    </row>
    <row r="17" spans="1:16" x14ac:dyDescent="0.25">
      <c r="A17" s="292" t="str">
        <f>_xlfn.CONCAT(donnée_haschich[[#This Row],[Nom produit]]," - ", donnée_haschich[[#This Row],[Variété]], IF(donnée_haschich[[#This Row],[Dominance ]]="-",,_xlfn.CONCAT(" (",donnée_haschich[[#This Row],[Dominance ]],")")))</f>
        <v>Carré de Hasch MK Ultra - MK Ultra (Indica)</v>
      </c>
      <c r="B17" s="293">
        <v>629108291143</v>
      </c>
      <c r="C17" s="292" t="s">
        <v>87</v>
      </c>
      <c r="D17" s="309" t="s">
        <v>726</v>
      </c>
      <c r="E17" s="292" t="s">
        <v>135</v>
      </c>
      <c r="F17" s="305" t="s">
        <v>818</v>
      </c>
      <c r="G17" s="292" t="s">
        <v>513</v>
      </c>
      <c r="H17" s="306" t="s">
        <v>458</v>
      </c>
      <c r="I17" s="292" t="s">
        <v>737</v>
      </c>
      <c r="J17" s="292" t="s">
        <v>616</v>
      </c>
      <c r="K17" s="306" t="s">
        <v>796</v>
      </c>
      <c r="L17" s="309" t="s">
        <v>786</v>
      </c>
      <c r="M17" s="307" t="s">
        <v>87</v>
      </c>
      <c r="N17" s="307" t="s">
        <v>87</v>
      </c>
      <c r="O17" s="308">
        <v>26.3</v>
      </c>
      <c r="P17" s="292"/>
    </row>
    <row r="18" spans="1:16" x14ac:dyDescent="0.25">
      <c r="A18" s="292" t="str">
        <f>_xlfn.CONCAT(donnée_haschich[[#This Row],[Nom produit]]," - ", donnée_haschich[[#This Row],[Variété]], IF(donnée_haschich[[#This Row],[Dominance ]]="-",,_xlfn.CONCAT(" (",donnée_haschich[[#This Row],[Dominance ]],")")))</f>
        <v>Choix du Nord - Mélange</v>
      </c>
      <c r="B18" s="293">
        <v>628011336385</v>
      </c>
      <c r="C18" s="292" t="s">
        <v>87</v>
      </c>
      <c r="D18" s="309" t="s">
        <v>726</v>
      </c>
      <c r="E18" s="292" t="s">
        <v>87</v>
      </c>
      <c r="F18" s="305" t="s">
        <v>819</v>
      </c>
      <c r="G18" s="292" t="s">
        <v>358</v>
      </c>
      <c r="H18" s="306" t="s">
        <v>795</v>
      </c>
      <c r="I18" s="292" t="s">
        <v>87</v>
      </c>
      <c r="J18" s="292" t="s">
        <v>87</v>
      </c>
      <c r="K18" s="306" t="s">
        <v>245</v>
      </c>
      <c r="L18" s="309" t="s">
        <v>786</v>
      </c>
      <c r="M18" s="307" t="s">
        <v>87</v>
      </c>
      <c r="N18" s="307" t="s">
        <v>87</v>
      </c>
      <c r="O18" s="308">
        <v>57.1</v>
      </c>
      <c r="P18" s="292"/>
    </row>
    <row r="19" spans="1:16" x14ac:dyDescent="0.25">
      <c r="A19" s="292" t="str">
        <f>_xlfn.CONCAT(donnée_haschich[[#This Row],[Nom produit]]," - ", donnée_haschich[[#This Row],[Variété]], IF(donnée_haschich[[#This Row],[Dominance ]]="-",,_xlfn.CONCAT(" (",donnée_haschich[[#This Row],[Dominance ]],")")))</f>
        <v>Citrique Électrique - Mélange (Sativa)</v>
      </c>
      <c r="B19" s="293"/>
      <c r="C19" s="292" t="s">
        <v>87</v>
      </c>
      <c r="D19" s="309"/>
      <c r="E19" s="292" t="s">
        <v>137</v>
      </c>
      <c r="F19" s="305" t="s">
        <v>820</v>
      </c>
      <c r="G19" s="292" t="s">
        <v>358</v>
      </c>
      <c r="H19" s="306" t="s">
        <v>821</v>
      </c>
      <c r="I19" s="292"/>
      <c r="J19" s="292"/>
      <c r="K19" s="306" t="s">
        <v>796</v>
      </c>
      <c r="L19" s="309"/>
      <c r="M19" s="307" t="s">
        <v>797</v>
      </c>
      <c r="N19" s="307" t="s">
        <v>822</v>
      </c>
      <c r="O19" s="308">
        <v>28</v>
      </c>
      <c r="P19" s="292"/>
    </row>
    <row r="20" spans="1:16" ht="16.5" x14ac:dyDescent="0.3">
      <c r="A20" s="292" t="str">
        <f>_xlfn.CONCAT(donnée_haschich[[#This Row],[Nom produit]]," - ", donnée_haschich[[#This Row],[Variété]], IF(donnée_haschich[[#This Row],[Dominance ]]="-",,_xlfn.CONCAT(" (",donnée_haschich[[#This Row],[Dominance ]],")")))</f>
        <v>Crumbled Lime Style Pressé -  (Sativa)</v>
      </c>
      <c r="B20" s="293"/>
      <c r="C20" s="292" t="s">
        <v>272</v>
      </c>
      <c r="D20" s="309" t="s">
        <v>726</v>
      </c>
      <c r="E20" s="292" t="s">
        <v>137</v>
      </c>
      <c r="F20" s="493" t="s">
        <v>823</v>
      </c>
      <c r="G20" s="292"/>
      <c r="H20" s="493" t="s">
        <v>298</v>
      </c>
      <c r="I20" s="494" t="s">
        <v>738</v>
      </c>
      <c r="J20" s="494" t="s">
        <v>800</v>
      </c>
      <c r="K20" s="493" t="s">
        <v>791</v>
      </c>
      <c r="L20" s="309" t="s">
        <v>786</v>
      </c>
      <c r="M20" s="515" t="s">
        <v>801</v>
      </c>
      <c r="N20" s="515" t="s">
        <v>824</v>
      </c>
      <c r="O20" s="494">
        <v>45.1</v>
      </c>
      <c r="P20" s="292"/>
    </row>
    <row r="21" spans="1:16" x14ac:dyDescent="0.25">
      <c r="A21" s="292" t="str">
        <f>_xlfn.CONCAT(donnée_haschich[[#This Row],[Nom produit]]," - ", donnée_haschich[[#This Row],[Variété]], IF(donnée_haschich[[#This Row],[Dominance ]]="-",,_xlfn.CONCAT(" (",donnée_haschich[[#This Row],[Dominance ]],")")))</f>
        <v>Dans ma Bulle - En rotation</v>
      </c>
      <c r="B21" s="293"/>
      <c r="C21" s="292" t="s">
        <v>87</v>
      </c>
      <c r="D21" s="309"/>
      <c r="E21" s="292" t="s">
        <v>87</v>
      </c>
      <c r="F21" s="305" t="s">
        <v>825</v>
      </c>
      <c r="G21" s="292" t="s">
        <v>264</v>
      </c>
      <c r="H21" s="306" t="s">
        <v>826</v>
      </c>
      <c r="I21" s="292"/>
      <c r="J21" s="292"/>
      <c r="K21" s="306" t="s">
        <v>791</v>
      </c>
      <c r="L21" s="309"/>
      <c r="M21" s="307" t="s">
        <v>805</v>
      </c>
      <c r="N21" s="307" t="s">
        <v>798</v>
      </c>
      <c r="O21" s="308">
        <v>54.9</v>
      </c>
      <c r="P21" s="292"/>
    </row>
    <row r="22" spans="1:16" ht="16.5" x14ac:dyDescent="0.3">
      <c r="A22" s="292" t="str">
        <f>_xlfn.CONCAT(donnée_haschich[[#This Row],[Nom produit]]," - ", donnée_haschich[[#This Row],[Variété]], IF(donnée_haschich[[#This Row],[Dominance ]]="-",,_xlfn.CONCAT(" (",donnée_haschich[[#This Row],[Dominance ]],")")))</f>
        <v xml:space="preserve">Drip N' Jiggle Old School - </v>
      </c>
      <c r="B22" s="293"/>
      <c r="C22" s="292" t="s">
        <v>272</v>
      </c>
      <c r="D22" s="309" t="s">
        <v>726</v>
      </c>
      <c r="E22" s="292" t="s">
        <v>87</v>
      </c>
      <c r="F22" s="493" t="s">
        <v>827</v>
      </c>
      <c r="G22" s="292"/>
      <c r="H22" s="493" t="s">
        <v>237</v>
      </c>
      <c r="I22" s="494" t="s">
        <v>732</v>
      </c>
      <c r="J22" s="494" t="s">
        <v>800</v>
      </c>
      <c r="K22" s="493" t="s">
        <v>796</v>
      </c>
      <c r="L22" s="309" t="s">
        <v>786</v>
      </c>
      <c r="M22" s="515" t="s">
        <v>792</v>
      </c>
      <c r="N22" s="515" t="s">
        <v>793</v>
      </c>
      <c r="O22" s="494">
        <v>29.9</v>
      </c>
      <c r="P22" s="292"/>
    </row>
    <row r="23" spans="1:16" x14ac:dyDescent="0.25">
      <c r="A23" s="292" t="str">
        <f>_xlfn.CONCAT(donnée_haschich[[#This Row],[Nom produit]]," - ", donnée_haschich[[#This Row],[Variété]], IF(donnée_haschich[[#This Row],[Dominance ]]="-",,_xlfn.CONCAT(" (",donnée_haschich[[#This Row],[Dominance ]],")")))</f>
        <v>Dry Sift Hash - Mélange</v>
      </c>
      <c r="B23" s="293">
        <v>826966012235</v>
      </c>
      <c r="C23" s="292" t="s">
        <v>87</v>
      </c>
      <c r="D23" s="309" t="s">
        <v>726</v>
      </c>
      <c r="E23" s="292" t="s">
        <v>87</v>
      </c>
      <c r="F23" s="305" t="s">
        <v>828</v>
      </c>
      <c r="G23" s="292" t="s">
        <v>358</v>
      </c>
      <c r="H23" s="306" t="s">
        <v>283</v>
      </c>
      <c r="I23" s="292" t="s">
        <v>616</v>
      </c>
      <c r="J23" s="292" t="s">
        <v>738</v>
      </c>
      <c r="K23" s="306" t="s">
        <v>796</v>
      </c>
      <c r="L23" s="309" t="s">
        <v>786</v>
      </c>
      <c r="M23" s="307" t="s">
        <v>87</v>
      </c>
      <c r="N23" s="307" t="s">
        <v>87</v>
      </c>
      <c r="O23" s="308">
        <v>40.9</v>
      </c>
      <c r="P23" s="292"/>
    </row>
    <row r="24" spans="1:16" x14ac:dyDescent="0.25">
      <c r="A24" s="292" t="str">
        <f>_xlfn.CONCAT(donnée_haschich[[#This Row],[Nom produit]]," - ", donnée_haschich[[#This Row],[Variété]], IF(donnée_haschich[[#This Row],[Dominance ]]="-",,_xlfn.CONCAT(" (",donnée_haschich[[#This Row],[Dominance ]],")")))</f>
        <v>Eiffel - Mélange (Indica)</v>
      </c>
      <c r="B24" s="293">
        <v>628518000437</v>
      </c>
      <c r="C24" s="293" t="s">
        <v>272</v>
      </c>
      <c r="D24" s="496" t="s">
        <v>809</v>
      </c>
      <c r="E24" s="292" t="s">
        <v>135</v>
      </c>
      <c r="F24" s="292" t="s">
        <v>829</v>
      </c>
      <c r="G24" s="294" t="s">
        <v>358</v>
      </c>
      <c r="H24" s="292" t="s">
        <v>830</v>
      </c>
      <c r="I24" s="294" t="s">
        <v>737</v>
      </c>
      <c r="J24" s="292" t="s">
        <v>732</v>
      </c>
      <c r="K24" s="292" t="s">
        <v>791</v>
      </c>
      <c r="L24" s="309" t="s">
        <v>786</v>
      </c>
      <c r="M24" s="315" t="s">
        <v>797</v>
      </c>
      <c r="N24" s="315" t="s">
        <v>798</v>
      </c>
      <c r="O24" s="294">
        <v>46.4</v>
      </c>
      <c r="P24" s="292"/>
    </row>
    <row r="25" spans="1:16" x14ac:dyDescent="0.25">
      <c r="A25" s="292" t="str">
        <f>_xlfn.CONCAT(donnée_haschich[[#This Row],[Nom produit]]," - ", donnée_haschich[[#This Row],[Variété]], IF(donnée_haschich[[#This Row],[Dominance ]]="-",,_xlfn.CONCAT(" (",donnée_haschich[[#This Row],[Dominance ]],")")))</f>
        <v>Équilibré - Mélange</v>
      </c>
      <c r="B25" s="293">
        <v>628011336361</v>
      </c>
      <c r="C25" s="292" t="s">
        <v>87</v>
      </c>
      <c r="D25" s="309" t="s">
        <v>726</v>
      </c>
      <c r="E25" s="292" t="s">
        <v>87</v>
      </c>
      <c r="F25" s="305" t="s">
        <v>831</v>
      </c>
      <c r="G25" s="292" t="s">
        <v>358</v>
      </c>
      <c r="H25" s="306" t="s">
        <v>770</v>
      </c>
      <c r="I25" s="292" t="s">
        <v>87</v>
      </c>
      <c r="J25" s="292" t="s">
        <v>87</v>
      </c>
      <c r="K25" s="306" t="s">
        <v>796</v>
      </c>
      <c r="L25" s="309" t="s">
        <v>786</v>
      </c>
      <c r="M25" s="307" t="s">
        <v>797</v>
      </c>
      <c r="N25" s="307" t="s">
        <v>798</v>
      </c>
      <c r="O25" s="308">
        <v>42.4</v>
      </c>
      <c r="P25" s="292"/>
    </row>
    <row r="26" spans="1:16" ht="16.5" x14ac:dyDescent="0.3">
      <c r="A26" s="292" t="str">
        <f>_xlfn.CONCAT(donnée_haschich[[#This Row],[Nom produit]]," - ", donnée_haschich[[#This Row],[Variété]], IF(donnée_haschich[[#This Row],[Dominance ]]="-",,_xlfn.CONCAT(" (",donnée_haschich[[#This Row],[Dominance ]],")")))</f>
        <v>Ghost Train Haze -  (Sativa)</v>
      </c>
      <c r="B26" s="293"/>
      <c r="C26" s="292" t="s">
        <v>87</v>
      </c>
      <c r="D26" s="309" t="s">
        <v>726</v>
      </c>
      <c r="E26" s="292" t="s">
        <v>137</v>
      </c>
      <c r="F26" s="493" t="s">
        <v>832</v>
      </c>
      <c r="G26" s="292"/>
      <c r="H26" s="493" t="s">
        <v>795</v>
      </c>
      <c r="I26" s="494" t="s">
        <v>800</v>
      </c>
      <c r="J26" s="494" t="s">
        <v>617</v>
      </c>
      <c r="K26" s="493" t="s">
        <v>791</v>
      </c>
      <c r="L26" s="309" t="s">
        <v>786</v>
      </c>
      <c r="M26" s="515" t="s">
        <v>792</v>
      </c>
      <c r="N26" s="515" t="s">
        <v>793</v>
      </c>
      <c r="O26" s="495">
        <v>44.4</v>
      </c>
      <c r="P26" s="292"/>
    </row>
    <row r="27" spans="1:16" x14ac:dyDescent="0.25">
      <c r="A27" s="292" t="str">
        <f>_xlfn.CONCAT(donnée_haschich[[#This Row],[Nom produit]]," - ", donnée_haschich[[#This Row],[Variété]], IF(donnée_haschich[[#This Row],[Dominance ]]="-",,_xlfn.CONCAT(" (",donnée_haschich[[#This Row],[Dominance ]],")")))</f>
        <v>Ginger Fizz - Ginger Fizz (Indica)</v>
      </c>
      <c r="B27" s="293"/>
      <c r="C27" s="292" t="s">
        <v>272</v>
      </c>
      <c r="D27" s="309"/>
      <c r="E27" s="292" t="s">
        <v>135</v>
      </c>
      <c r="F27" s="305" t="s">
        <v>833</v>
      </c>
      <c r="G27" s="292" t="s">
        <v>833</v>
      </c>
      <c r="H27" s="306" t="s">
        <v>834</v>
      </c>
      <c r="I27" s="292"/>
      <c r="J27" s="292"/>
      <c r="K27" s="306" t="s">
        <v>796</v>
      </c>
      <c r="L27" s="309"/>
      <c r="M27" s="307" t="s">
        <v>804</v>
      </c>
      <c r="N27" s="307" t="s">
        <v>798</v>
      </c>
      <c r="O27" s="308">
        <v>36.4</v>
      </c>
      <c r="P27" s="292"/>
    </row>
    <row r="28" spans="1:16" ht="16.5" x14ac:dyDescent="0.3">
      <c r="A28" s="292" t="str">
        <f>_xlfn.CONCAT(donnée_haschich[[#This Row],[Nom produit]]," - ", donnée_haschich[[#This Row],[Variété]], IF(donnée_haschich[[#This Row],[Dominance ]]="-",,_xlfn.CONCAT(" (",donnée_haschich[[#This Row],[Dominance ]],")")))</f>
        <v>Grand Daddy Purps Temple Ball -  (Indica)</v>
      </c>
      <c r="B28" s="293"/>
      <c r="C28" s="292" t="s">
        <v>87</v>
      </c>
      <c r="D28" s="309" t="s">
        <v>726</v>
      </c>
      <c r="E28" s="292" t="s">
        <v>135</v>
      </c>
      <c r="F28" s="493" t="s">
        <v>835</v>
      </c>
      <c r="G28" s="292"/>
      <c r="H28" s="493" t="s">
        <v>220</v>
      </c>
      <c r="I28" s="494" t="s">
        <v>732</v>
      </c>
      <c r="J28" s="494" t="s">
        <v>737</v>
      </c>
      <c r="K28" s="493" t="s">
        <v>791</v>
      </c>
      <c r="L28" s="309" t="s">
        <v>786</v>
      </c>
      <c r="M28" s="515" t="s">
        <v>792</v>
      </c>
      <c r="N28" s="515" t="s">
        <v>793</v>
      </c>
      <c r="O28" s="494">
        <v>43.5</v>
      </c>
      <c r="P28" s="292"/>
    </row>
    <row r="29" spans="1:16" ht="16.5" x14ac:dyDescent="0.3">
      <c r="A29" s="292" t="str">
        <f>_xlfn.CONCAT(donnée_haschich[[#This Row],[Nom produit]]," - ", donnée_haschich[[#This Row],[Variété]], IF(donnée_haschich[[#This Row],[Dominance ]]="-",,_xlfn.CONCAT(" (",donnée_haschich[[#This Row],[Dominance ]],")")))</f>
        <v>Grand Royal Hash - Animal RNTZ (Indica)</v>
      </c>
      <c r="B29" s="293"/>
      <c r="C29" s="292" t="s">
        <v>87</v>
      </c>
      <c r="D29" s="309" t="s">
        <v>726</v>
      </c>
      <c r="E29" s="292" t="s">
        <v>135</v>
      </c>
      <c r="F29" s="493" t="s">
        <v>836</v>
      </c>
      <c r="G29" s="292" t="s">
        <v>340</v>
      </c>
      <c r="H29" s="493" t="s">
        <v>837</v>
      </c>
      <c r="I29" s="494" t="s">
        <v>616</v>
      </c>
      <c r="J29" s="494" t="s">
        <v>737</v>
      </c>
      <c r="K29" s="493" t="s">
        <v>245</v>
      </c>
      <c r="L29" s="309" t="s">
        <v>786</v>
      </c>
      <c r="M29" s="516" t="s">
        <v>801</v>
      </c>
      <c r="N29" s="515" t="s">
        <v>793</v>
      </c>
      <c r="O29" s="495">
        <v>54.4</v>
      </c>
      <c r="P29" s="292"/>
    </row>
    <row r="30" spans="1:16" x14ac:dyDescent="0.25">
      <c r="A30" s="292" t="str">
        <f>_xlfn.CONCAT(donnée_haschich[[#This Row],[Nom produit]]," - ", donnée_haschich[[#This Row],[Variété]], IF(donnée_haschich[[#This Row],[Dominance ]]="-",,_xlfn.CONCAT(" (",donnée_haschich[[#This Row],[Dominance ]],")")))</f>
        <v>H - Kush Cookies (Indica)</v>
      </c>
      <c r="B30" s="293">
        <v>628176600383</v>
      </c>
      <c r="C30" s="292" t="s">
        <v>87</v>
      </c>
      <c r="D30" s="309" t="s">
        <v>726</v>
      </c>
      <c r="E30" s="292" t="s">
        <v>135</v>
      </c>
      <c r="F30" s="305" t="s">
        <v>838</v>
      </c>
      <c r="G30" s="292" t="s">
        <v>839</v>
      </c>
      <c r="H30" s="306" t="s">
        <v>840</v>
      </c>
      <c r="I30" s="292" t="s">
        <v>738</v>
      </c>
      <c r="J30" s="292" t="s">
        <v>790</v>
      </c>
      <c r="K30" s="306" t="s">
        <v>796</v>
      </c>
      <c r="L30" s="309" t="s">
        <v>786</v>
      </c>
      <c r="M30" s="307" t="s">
        <v>804</v>
      </c>
      <c r="N30" s="307" t="s">
        <v>841</v>
      </c>
      <c r="O30" s="308">
        <v>59.9</v>
      </c>
      <c r="P30" s="292"/>
    </row>
    <row r="31" spans="1:16" x14ac:dyDescent="0.25">
      <c r="A31" s="292" t="str">
        <f>_xlfn.CONCAT(donnée_haschich[[#This Row],[Nom produit]]," - ", donnée_haschich[[#This Row],[Variété]], IF(donnée_haschich[[#This Row],[Dominance ]]="-",,_xlfn.CONCAT(" (",donnée_haschich[[#This Row],[Dominance ]],")")))</f>
        <v>H19 Old School - Mélange</v>
      </c>
      <c r="B31" s="293">
        <v>628634303153</v>
      </c>
      <c r="C31" s="292" t="s">
        <v>87</v>
      </c>
      <c r="D31" s="309" t="s">
        <v>726</v>
      </c>
      <c r="E31" s="292" t="s">
        <v>87</v>
      </c>
      <c r="F31" s="305" t="s">
        <v>842</v>
      </c>
      <c r="G31" s="292" t="s">
        <v>358</v>
      </c>
      <c r="H31" s="306" t="s">
        <v>528</v>
      </c>
      <c r="I31" s="292" t="s">
        <v>757</v>
      </c>
      <c r="J31" s="292" t="s">
        <v>87</v>
      </c>
      <c r="K31" s="306" t="s">
        <v>245</v>
      </c>
      <c r="L31" s="309" t="s">
        <v>786</v>
      </c>
      <c r="M31" s="307" t="s">
        <v>87</v>
      </c>
      <c r="N31" s="307" t="s">
        <v>87</v>
      </c>
      <c r="O31" s="308">
        <v>55.9</v>
      </c>
      <c r="P31" s="292"/>
    </row>
    <row r="32" spans="1:16" x14ac:dyDescent="0.25">
      <c r="A32" s="292" t="str">
        <f>_xlfn.CONCAT(donnée_haschich[[#This Row],[Nom produit]]," - ", donnée_haschich[[#This Row],[Variété]], IF(donnée_haschich[[#This Row],[Dominance ]]="-",,_xlfn.CONCAT(" (",donnée_haschich[[#This Row],[Dominance ]],")")))</f>
        <v>H29 Old School - Mélange (Sativa)</v>
      </c>
      <c r="B32" s="293">
        <v>628634303160</v>
      </c>
      <c r="C32" s="293" t="s">
        <v>87</v>
      </c>
      <c r="D32" s="292" t="s">
        <v>809</v>
      </c>
      <c r="E32" s="292" t="s">
        <v>137</v>
      </c>
      <c r="F32" s="292" t="s">
        <v>843</v>
      </c>
      <c r="G32" s="292" t="s">
        <v>358</v>
      </c>
      <c r="H32" s="292" t="s">
        <v>528</v>
      </c>
      <c r="I32" s="294" t="s">
        <v>738</v>
      </c>
      <c r="J32" s="292" t="s">
        <v>87</v>
      </c>
      <c r="K32" s="292" t="s">
        <v>245</v>
      </c>
      <c r="L32" s="292" t="s">
        <v>786</v>
      </c>
      <c r="M32" s="294" t="s">
        <v>844</v>
      </c>
      <c r="N32" s="292" t="s">
        <v>798</v>
      </c>
      <c r="O32" s="294">
        <v>55.9</v>
      </c>
      <c r="P32" s="292"/>
    </row>
    <row r="33" spans="1:16" x14ac:dyDescent="0.25">
      <c r="A33" s="292" t="str">
        <f>_xlfn.CONCAT(donnée_haschich[[#This Row],[Nom produit]]," - ", donnée_haschich[[#This Row],[Variété]], IF(donnée_haschich[[#This Row],[Dominance ]]="-",,_xlfn.CONCAT(" (",donnée_haschich[[#This Row],[Dominance ]],")")))</f>
        <v>H4 Old School - Mélange</v>
      </c>
      <c r="B33" s="319">
        <v>628634303269</v>
      </c>
      <c r="C33" t="s">
        <v>272</v>
      </c>
      <c r="E33" t="s">
        <v>87</v>
      </c>
      <c r="F33" t="s">
        <v>845</v>
      </c>
      <c r="G33" t="s">
        <v>358</v>
      </c>
      <c r="H33" t="s">
        <v>349</v>
      </c>
      <c r="I33" t="s">
        <v>800</v>
      </c>
      <c r="J33" t="s">
        <v>617</v>
      </c>
      <c r="K33" t="s">
        <v>796</v>
      </c>
      <c r="L33"/>
      <c r="M33" t="s">
        <v>804</v>
      </c>
      <c r="N33" t="s">
        <v>798</v>
      </c>
      <c r="O33">
        <v>29.9</v>
      </c>
      <c r="P33" s="292"/>
    </row>
    <row r="34" spans="1:16" x14ac:dyDescent="0.25">
      <c r="A34" s="292" t="str">
        <f>_xlfn.CONCAT(donnée_haschich[[#This Row],[Nom produit]]," - ", donnée_haschich[[#This Row],[Variété]], IF(donnée_haschich[[#This Row],[Dominance ]]="-",,_xlfn.CONCAT(" (",donnée_haschich[[#This Row],[Dominance ]],")")))</f>
        <v>Hachisch Afghan équilibré - Mélange (Indica)</v>
      </c>
      <c r="B34" s="335">
        <v>688083013850</v>
      </c>
      <c r="C34" s="292" t="s">
        <v>87</v>
      </c>
      <c r="D34" s="292" t="s">
        <v>726</v>
      </c>
      <c r="E34" s="292" t="s">
        <v>135</v>
      </c>
      <c r="F34" s="325" t="s">
        <v>846</v>
      </c>
      <c r="G34" s="292" t="s">
        <v>358</v>
      </c>
      <c r="H34" s="325" t="s">
        <v>422</v>
      </c>
      <c r="I34" s="292"/>
      <c r="J34" s="292"/>
      <c r="K34" s="325" t="s">
        <v>245</v>
      </c>
      <c r="L34" s="292" t="s">
        <v>786</v>
      </c>
      <c r="M34" s="307" t="s">
        <v>815</v>
      </c>
      <c r="N34" s="307" t="s">
        <v>798</v>
      </c>
      <c r="O34" s="327">
        <v>49.1</v>
      </c>
      <c r="P34" s="292"/>
    </row>
    <row r="35" spans="1:16" x14ac:dyDescent="0.25">
      <c r="A35" s="292" t="str">
        <f>_xlfn.CONCAT(donnée_haschich[[#This Row],[Nom produit]]," - ", donnée_haschich[[#This Row],[Variété]], IF(donnée_haschich[[#This Row],[Dominance ]]="-",,_xlfn.CONCAT(" (",donnée_haschich[[#This Row],[Dominance ]],")")))</f>
        <v>Hasch Atlantide - All Kush 47 (Sativa)</v>
      </c>
      <c r="B35" s="293">
        <v>697238114137</v>
      </c>
      <c r="C35" s="292" t="s">
        <v>272</v>
      </c>
      <c r="D35" s="292" t="s">
        <v>726</v>
      </c>
      <c r="E35" s="292" t="s">
        <v>137</v>
      </c>
      <c r="F35" s="305" t="s">
        <v>847</v>
      </c>
      <c r="G35" s="292" t="s">
        <v>848</v>
      </c>
      <c r="H35" s="306" t="s">
        <v>468</v>
      </c>
      <c r="I35" s="292" t="s">
        <v>616</v>
      </c>
      <c r="J35" s="292" t="s">
        <v>617</v>
      </c>
      <c r="K35" s="306" t="s">
        <v>796</v>
      </c>
      <c r="L35" s="292" t="s">
        <v>786</v>
      </c>
      <c r="M35" s="307" t="s">
        <v>805</v>
      </c>
      <c r="N35" s="307" t="s">
        <v>841</v>
      </c>
      <c r="O35" s="308">
        <v>34</v>
      </c>
      <c r="P35" s="292"/>
    </row>
    <row r="36" spans="1:16" x14ac:dyDescent="0.25">
      <c r="A36" s="292" t="str">
        <f>_xlfn.CONCAT(donnée_haschich[[#This Row],[Nom produit]]," - ", donnée_haschich[[#This Row],[Variété]], IF(donnée_haschich[[#This Row],[Dominance ]]="-",,_xlfn.CONCAT(" (",donnée_haschich[[#This Row],[Dominance ]],")")))</f>
        <v>Hasch de Raisins - Grape Galena (Sativa)</v>
      </c>
      <c r="B36" s="335">
        <v>875429000838</v>
      </c>
      <c r="C36" s="292" t="s">
        <v>272</v>
      </c>
      <c r="D36" s="292" t="s">
        <v>726</v>
      </c>
      <c r="E36" s="292" t="s">
        <v>137</v>
      </c>
      <c r="F36" s="325" t="s">
        <v>849</v>
      </c>
      <c r="G36" s="292" t="s">
        <v>850</v>
      </c>
      <c r="H36" s="325" t="s">
        <v>851</v>
      </c>
      <c r="I36" s="292"/>
      <c r="J36" s="292"/>
      <c r="K36" s="325" t="s">
        <v>796</v>
      </c>
      <c r="L36" s="292" t="s">
        <v>786</v>
      </c>
      <c r="M36" s="292" t="s">
        <v>797</v>
      </c>
      <c r="N36" s="292" t="s">
        <v>798</v>
      </c>
      <c r="O36" s="327">
        <v>29</v>
      </c>
      <c r="P36" s="292"/>
    </row>
    <row r="37" spans="1:16" x14ac:dyDescent="0.25">
      <c r="A37" s="292" t="str">
        <f>_xlfn.CONCAT(donnée_haschich[[#This Row],[Nom produit]]," - ", donnée_haschich[[#This Row],[Variété]], IF(donnée_haschich[[#This Row],[Dominance ]]="-",,_xlfn.CONCAT(" (",donnée_haschich[[#This Row],[Dominance ]],")")))</f>
        <v>Hasch de Zsweet - Zsweet Insanity (Sativa)</v>
      </c>
      <c r="B37" s="293">
        <v>628634099919</v>
      </c>
      <c r="C37" s="293" t="s">
        <v>272</v>
      </c>
      <c r="D37" s="294" t="s">
        <v>809</v>
      </c>
      <c r="E37" s="292" t="s">
        <v>137</v>
      </c>
      <c r="F37" s="292" t="s">
        <v>852</v>
      </c>
      <c r="G37" s="294" t="s">
        <v>853</v>
      </c>
      <c r="H37" s="292" t="s">
        <v>854</v>
      </c>
      <c r="I37" s="294" t="s">
        <v>738</v>
      </c>
      <c r="J37" s="292" t="s">
        <v>737</v>
      </c>
      <c r="K37" s="292" t="s">
        <v>245</v>
      </c>
      <c r="L37" s="292" t="s">
        <v>786</v>
      </c>
      <c r="M37" s="282" t="s">
        <v>844</v>
      </c>
      <c r="N37" s="282" t="s">
        <v>798</v>
      </c>
      <c r="O37" s="294">
        <v>49.9</v>
      </c>
      <c r="P37" s="292"/>
    </row>
    <row r="38" spans="1:16" x14ac:dyDescent="0.25">
      <c r="A38" s="292" t="str">
        <f>_xlfn.CONCAT(donnée_haschich[[#This Row],[Nom produit]]," - ", donnée_haschich[[#This Row],[Variété]], IF(donnée_haschich[[#This Row],[Dominance ]]="-",,_xlfn.CONCAT(" (",donnée_haschich[[#This Row],[Dominance ]],")")))</f>
        <v>Hasch Great White Shark - Great White Shark (Sativa)</v>
      </c>
      <c r="B38" s="293">
        <v>628582002016</v>
      </c>
      <c r="C38" s="292" t="s">
        <v>87</v>
      </c>
      <c r="D38" s="292" t="s">
        <v>726</v>
      </c>
      <c r="E38" s="292" t="s">
        <v>137</v>
      </c>
      <c r="F38" s="305" t="s">
        <v>855</v>
      </c>
      <c r="G38" s="292" t="s">
        <v>856</v>
      </c>
      <c r="H38" s="306" t="s">
        <v>464</v>
      </c>
      <c r="I38" s="292" t="s">
        <v>616</v>
      </c>
      <c r="J38" s="292" t="s">
        <v>738</v>
      </c>
      <c r="K38" s="306" t="s">
        <v>796</v>
      </c>
      <c r="L38" s="292" t="s">
        <v>786</v>
      </c>
      <c r="M38" s="292" t="s">
        <v>87</v>
      </c>
      <c r="N38" s="292" t="s">
        <v>87</v>
      </c>
      <c r="O38" s="308">
        <v>37.5</v>
      </c>
      <c r="P38" s="292"/>
    </row>
    <row r="39" spans="1:16" x14ac:dyDescent="0.25">
      <c r="A39" s="292" t="str">
        <f>_xlfn.CONCAT(donnée_haschich[[#This Row],[Nom produit]]," - ", donnée_haschich[[#This Row],[Variété]], IF(donnée_haschich[[#This Row],[Dominance ]]="-",,_xlfn.CONCAT(" (",donnée_haschich[[#This Row],[Dominance ]],")")))</f>
        <v>Hasch Pink Kush - Pink Kush (Indica)</v>
      </c>
      <c r="B39" s="293">
        <v>628582002009</v>
      </c>
      <c r="C39" s="292" t="s">
        <v>87</v>
      </c>
      <c r="D39" s="292" t="s">
        <v>726</v>
      </c>
      <c r="E39" s="292" t="s">
        <v>135</v>
      </c>
      <c r="F39" s="305" t="s">
        <v>857</v>
      </c>
      <c r="G39" s="292" t="s">
        <v>515</v>
      </c>
      <c r="H39" s="306" t="s">
        <v>464</v>
      </c>
      <c r="I39" s="292" t="s">
        <v>790</v>
      </c>
      <c r="J39" s="292" t="s">
        <v>757</v>
      </c>
      <c r="K39" s="306" t="s">
        <v>796</v>
      </c>
      <c r="L39" s="292" t="s">
        <v>786</v>
      </c>
      <c r="M39" s="307" t="s">
        <v>87</v>
      </c>
      <c r="N39" s="307" t="s">
        <v>87</v>
      </c>
      <c r="O39" s="308">
        <v>37.5</v>
      </c>
      <c r="P39" s="292"/>
    </row>
    <row r="40" spans="1:16" x14ac:dyDescent="0.25">
      <c r="A40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(Promenade) - Mélange</v>
      </c>
      <c r="B40" s="293"/>
      <c r="C40" s="292" t="s">
        <v>87</v>
      </c>
      <c r="D40" s="292"/>
      <c r="E40" s="292" t="s">
        <v>87</v>
      </c>
      <c r="F40" s="305" t="s">
        <v>858</v>
      </c>
      <c r="G40" s="292" t="s">
        <v>358</v>
      </c>
      <c r="H40" s="306" t="s">
        <v>260</v>
      </c>
      <c r="I40" s="292"/>
      <c r="J40" s="292"/>
      <c r="K40" s="306" t="s">
        <v>571</v>
      </c>
      <c r="L40" s="292"/>
      <c r="M40" s="292" t="s">
        <v>797</v>
      </c>
      <c r="N40" s="292" t="s">
        <v>798</v>
      </c>
      <c r="O40" s="417">
        <v>15.7</v>
      </c>
      <c r="P40" s="292"/>
    </row>
    <row r="41" spans="1:16" x14ac:dyDescent="0.25">
      <c r="A41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Afghan Noir - Mélange</v>
      </c>
      <c r="B41" s="335">
        <v>817048000288</v>
      </c>
      <c r="C41" s="292" t="s">
        <v>272</v>
      </c>
      <c r="D41" s="292" t="s">
        <v>726</v>
      </c>
      <c r="E41" s="292" t="s">
        <v>87</v>
      </c>
      <c r="F41" s="325" t="s">
        <v>859</v>
      </c>
      <c r="G41" s="292" t="s">
        <v>358</v>
      </c>
      <c r="H41" s="325" t="s">
        <v>860</v>
      </c>
      <c r="I41" s="292"/>
      <c r="J41" s="292"/>
      <c r="K41" s="325" t="s">
        <v>791</v>
      </c>
      <c r="L41" s="292" t="s">
        <v>786</v>
      </c>
      <c r="M41" s="292" t="s">
        <v>797</v>
      </c>
      <c r="N41" s="292" t="s">
        <v>798</v>
      </c>
      <c r="O41" s="327">
        <v>48</v>
      </c>
      <c r="P41" s="292"/>
    </row>
    <row r="42" spans="1:16" x14ac:dyDescent="0.25">
      <c r="A42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de CBD - Mélange</v>
      </c>
      <c r="B42" s="293">
        <v>628634303139</v>
      </c>
      <c r="C42" s="293" t="s">
        <v>87</v>
      </c>
      <c r="D42" s="292" t="s">
        <v>809</v>
      </c>
      <c r="E42" s="292" t="s">
        <v>87</v>
      </c>
      <c r="F42" s="292" t="s">
        <v>861</v>
      </c>
      <c r="G42" s="292" t="s">
        <v>358</v>
      </c>
      <c r="H42" s="292" t="s">
        <v>687</v>
      </c>
      <c r="I42" s="294" t="s">
        <v>617</v>
      </c>
      <c r="J42" s="292" t="s">
        <v>790</v>
      </c>
      <c r="K42" s="292" t="s">
        <v>245</v>
      </c>
      <c r="L42" s="292" t="s">
        <v>786</v>
      </c>
      <c r="M42" s="292" t="s">
        <v>804</v>
      </c>
      <c r="N42" s="292" t="s">
        <v>798</v>
      </c>
      <c r="O42" s="294">
        <v>49.9</v>
      </c>
      <c r="P42" s="292"/>
    </row>
    <row r="43" spans="1:16" x14ac:dyDescent="0.25">
      <c r="A43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Indica - Mélange (Indica)</v>
      </c>
      <c r="B43" s="293">
        <v>827885008613</v>
      </c>
      <c r="C43" s="292" t="s">
        <v>87</v>
      </c>
      <c r="D43" s="292" t="s">
        <v>726</v>
      </c>
      <c r="E43" s="292" t="s">
        <v>135</v>
      </c>
      <c r="F43" s="305" t="s">
        <v>862</v>
      </c>
      <c r="G43" s="292" t="s">
        <v>358</v>
      </c>
      <c r="H43" s="306" t="s">
        <v>322</v>
      </c>
      <c r="I43" s="292" t="s">
        <v>87</v>
      </c>
      <c r="J43" s="292" t="s">
        <v>87</v>
      </c>
      <c r="K43" s="306" t="s">
        <v>796</v>
      </c>
      <c r="L43" s="292" t="s">
        <v>786</v>
      </c>
      <c r="M43" s="292" t="s">
        <v>87</v>
      </c>
      <c r="N43" s="292" t="s">
        <v>87</v>
      </c>
      <c r="O43" s="308">
        <v>42.1</v>
      </c>
      <c r="P43" s="292"/>
    </row>
    <row r="44" spans="1:16" x14ac:dyDescent="0.25">
      <c r="A44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Libanais - Mélange (Sativa)</v>
      </c>
      <c r="B44" s="293">
        <v>688318000945</v>
      </c>
      <c r="C44" s="292" t="s">
        <v>87</v>
      </c>
      <c r="D44" s="292" t="s">
        <v>726</v>
      </c>
      <c r="E44" s="292" t="s">
        <v>137</v>
      </c>
      <c r="F44" s="305" t="s">
        <v>863</v>
      </c>
      <c r="G44" s="292" t="s">
        <v>358</v>
      </c>
      <c r="H44" s="306" t="s">
        <v>452</v>
      </c>
      <c r="I44" s="292" t="s">
        <v>800</v>
      </c>
      <c r="J44" s="292" t="s">
        <v>616</v>
      </c>
      <c r="K44" s="306" t="s">
        <v>245</v>
      </c>
      <c r="L44" s="292" t="s">
        <v>786</v>
      </c>
      <c r="M44" s="292" t="s">
        <v>797</v>
      </c>
      <c r="N44" s="292" t="s">
        <v>798</v>
      </c>
      <c r="O44" s="308">
        <v>49.9</v>
      </c>
      <c r="P44" s="292"/>
    </row>
    <row r="45" spans="1:16" x14ac:dyDescent="0.25">
      <c r="A45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Mélangé - Mélange</v>
      </c>
      <c r="B45" s="293">
        <v>875429000012</v>
      </c>
      <c r="C45" s="292" t="s">
        <v>87</v>
      </c>
      <c r="D45" s="292" t="s">
        <v>726</v>
      </c>
      <c r="E45" s="292" t="s">
        <v>87</v>
      </c>
      <c r="F45" s="305" t="s">
        <v>864</v>
      </c>
      <c r="G45" s="292" t="s">
        <v>358</v>
      </c>
      <c r="H45" s="306" t="s">
        <v>378</v>
      </c>
      <c r="I45" s="292" t="s">
        <v>732</v>
      </c>
      <c r="J45" s="292" t="s">
        <v>616</v>
      </c>
      <c r="K45" s="306" t="s">
        <v>796</v>
      </c>
      <c r="L45" s="292" t="s">
        <v>786</v>
      </c>
      <c r="M45" s="292" t="s">
        <v>797</v>
      </c>
      <c r="N45" s="292" t="s">
        <v>798</v>
      </c>
      <c r="O45" s="308">
        <v>34.4</v>
      </c>
      <c r="P45" s="292"/>
    </row>
    <row r="46" spans="1:16" ht="15.75" thickBot="1" x14ac:dyDescent="0.3">
      <c r="A46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Noir - Mélange</v>
      </c>
      <c r="B46" s="299">
        <v>824164001006</v>
      </c>
      <c r="C46" s="298" t="s">
        <v>87</v>
      </c>
      <c r="D46" s="309" t="s">
        <v>726</v>
      </c>
      <c r="E46" s="298" t="s">
        <v>87</v>
      </c>
      <c r="F46" s="313" t="s">
        <v>865</v>
      </c>
      <c r="G46" s="309" t="s">
        <v>358</v>
      </c>
      <c r="H46" s="311" t="s">
        <v>866</v>
      </c>
      <c r="I46" s="298" t="s">
        <v>87</v>
      </c>
      <c r="J46" s="298" t="s">
        <v>87</v>
      </c>
      <c r="K46" s="314" t="s">
        <v>796</v>
      </c>
      <c r="L46" s="298" t="s">
        <v>786</v>
      </c>
      <c r="M46" s="422" t="s">
        <v>87</v>
      </c>
      <c r="N46" s="292" t="s">
        <v>87</v>
      </c>
      <c r="O46" s="312">
        <v>39.9</v>
      </c>
      <c r="P46" s="292"/>
    </row>
    <row r="47" spans="1:16" ht="15.75" thickBot="1" x14ac:dyDescent="0.3">
      <c r="A47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Pressé - Mélange</v>
      </c>
      <c r="B47" s="359">
        <v>671148011038</v>
      </c>
      <c r="C47" s="326" t="s">
        <v>87</v>
      </c>
      <c r="D47" s="326" t="s">
        <v>87</v>
      </c>
      <c r="E47" s="497" t="s">
        <v>87</v>
      </c>
      <c r="F47" s="497" t="s">
        <v>867</v>
      </c>
      <c r="G47" s="326" t="s">
        <v>358</v>
      </c>
      <c r="H47" s="497" t="s">
        <v>868</v>
      </c>
      <c r="I47" s="326" t="s">
        <v>790</v>
      </c>
      <c r="J47" s="326" t="s">
        <v>616</v>
      </c>
      <c r="K47" s="497" t="s">
        <v>796</v>
      </c>
      <c r="L47" s="497"/>
      <c r="M47" t="s">
        <v>804</v>
      </c>
      <c r="N47" t="s">
        <v>798</v>
      </c>
      <c r="O47" s="326">
        <v>27</v>
      </c>
      <c r="P47" s="292"/>
    </row>
    <row r="48" spans="1:16" ht="15.75" thickBot="1" x14ac:dyDescent="0.3">
      <c r="A48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Pressé Harmonieux - Mélange</v>
      </c>
      <c r="B48" s="299">
        <v>628451574309</v>
      </c>
      <c r="C48" s="298" t="s">
        <v>87</v>
      </c>
      <c r="D48" s="298" t="s">
        <v>726</v>
      </c>
      <c r="E48" s="298" t="s">
        <v>87</v>
      </c>
      <c r="F48" s="310" t="s">
        <v>869</v>
      </c>
      <c r="G48" s="298" t="s">
        <v>358</v>
      </c>
      <c r="H48" s="311" t="s">
        <v>624</v>
      </c>
      <c r="I48" s="298" t="s">
        <v>616</v>
      </c>
      <c r="J48" s="309" t="s">
        <v>732</v>
      </c>
      <c r="K48" s="311" t="s">
        <v>796</v>
      </c>
      <c r="L48" s="298" t="s">
        <v>786</v>
      </c>
      <c r="M48" s="292" t="s">
        <v>805</v>
      </c>
      <c r="N48" s="292" t="s">
        <v>798</v>
      </c>
      <c r="O48" s="312">
        <v>42.8</v>
      </c>
      <c r="P48" s="292"/>
    </row>
    <row r="49" spans="1:16" ht="15.75" thickBot="1" x14ac:dyDescent="0.3">
      <c r="A49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Sativa Rétro - Mélange (Sativa)</v>
      </c>
      <c r="B49" s="299">
        <v>827885008620</v>
      </c>
      <c r="C49" s="298" t="s">
        <v>87</v>
      </c>
      <c r="D49" s="298" t="s">
        <v>726</v>
      </c>
      <c r="E49" s="298" t="s">
        <v>137</v>
      </c>
      <c r="F49" s="310" t="s">
        <v>870</v>
      </c>
      <c r="G49" s="298" t="s">
        <v>358</v>
      </c>
      <c r="H49" s="311" t="s">
        <v>322</v>
      </c>
      <c r="I49" s="298" t="s">
        <v>87</v>
      </c>
      <c r="J49" s="309" t="s">
        <v>87</v>
      </c>
      <c r="K49" s="311" t="s">
        <v>796</v>
      </c>
      <c r="L49" s="298" t="s">
        <v>786</v>
      </c>
      <c r="M49" s="292" t="s">
        <v>871</v>
      </c>
      <c r="N49" s="292" t="s">
        <v>872</v>
      </c>
      <c r="O49" s="312">
        <v>42.1</v>
      </c>
      <c r="P49" s="292"/>
    </row>
    <row r="50" spans="1:16" ht="15.75" thickBot="1" x14ac:dyDescent="0.3">
      <c r="A50" s="292" t="str">
        <f>_xlfn.CONCAT(donnée_haschich[[#This Row],[Nom produit]]," - ", donnée_haschich[[#This Row],[Variété]], IF(donnée_haschich[[#This Row],[Dominance ]]="-",,_xlfn.CONCAT(" (",donnée_haschich[[#This Row],[Dominance ]],")")))</f>
        <v>Haschich Sommet Alpin - Mélange (Indica)</v>
      </c>
      <c r="B50" s="299"/>
      <c r="C50" s="298" t="s">
        <v>87</v>
      </c>
      <c r="D50" s="298"/>
      <c r="E50" s="298" t="s">
        <v>135</v>
      </c>
      <c r="F50" s="310" t="s">
        <v>873</v>
      </c>
      <c r="G50" s="298" t="s">
        <v>358</v>
      </c>
      <c r="H50" s="311" t="s">
        <v>860</v>
      </c>
      <c r="I50" s="298"/>
      <c r="J50" s="309"/>
      <c r="K50" s="311" t="s">
        <v>796</v>
      </c>
      <c r="L50" s="298"/>
      <c r="M50" s="309" t="s">
        <v>797</v>
      </c>
      <c r="N50" s="309" t="s">
        <v>822</v>
      </c>
      <c r="O50" s="312">
        <v>32</v>
      </c>
      <c r="P50" s="292"/>
    </row>
    <row r="51" spans="1:16" ht="15.75" thickBot="1" x14ac:dyDescent="0.3">
      <c r="A51" s="292" t="str">
        <f>_xlfn.CONCAT(donnée_haschich[[#This Row],[Nom produit]]," - ", donnée_haschich[[#This Row],[Variété]], IF(donnée_haschich[[#This Row],[Dominance ]]="-",,_xlfn.CONCAT(" (",donnée_haschich[[#This Row],[Dominance ]],")")))</f>
        <v>Haschish - Apricot Kush</v>
      </c>
      <c r="B51" s="299">
        <v>628176622507</v>
      </c>
      <c r="C51" s="298" t="s">
        <v>87</v>
      </c>
      <c r="D51" s="298" t="s">
        <v>726</v>
      </c>
      <c r="E51" s="298" t="s">
        <v>87</v>
      </c>
      <c r="F51" s="310" t="s">
        <v>874</v>
      </c>
      <c r="G51" s="298" t="s">
        <v>875</v>
      </c>
      <c r="H51" s="311" t="s">
        <v>854</v>
      </c>
      <c r="I51" s="298" t="s">
        <v>616</v>
      </c>
      <c r="J51" s="309" t="s">
        <v>737</v>
      </c>
      <c r="K51" s="311" t="s">
        <v>796</v>
      </c>
      <c r="L51" s="298" t="s">
        <v>786</v>
      </c>
      <c r="M51" s="309" t="s">
        <v>797</v>
      </c>
      <c r="N51" s="309" t="s">
        <v>798</v>
      </c>
      <c r="O51" s="312">
        <v>31.8</v>
      </c>
      <c r="P51" s="292"/>
    </row>
    <row r="52" spans="1:16" ht="16.5" x14ac:dyDescent="0.3">
      <c r="A52" s="292" t="str">
        <f>_xlfn.CONCAT(donnée_haschich[[#This Row],[Nom produit]]," - ", donnée_haschich[[#This Row],[Variété]], IF(donnée_haschich[[#This Row],[Dominance ]]="-",,_xlfn.CONCAT(" (",donnée_haschich[[#This Row],[Dominance ]],")")))</f>
        <v>Haschtag CBD - Mélange</v>
      </c>
      <c r="B52" s="293"/>
      <c r="C52" s="292" t="s">
        <v>272</v>
      </c>
      <c r="D52" s="292" t="s">
        <v>726</v>
      </c>
      <c r="E52" s="292" t="s">
        <v>87</v>
      </c>
      <c r="F52" s="493" t="s">
        <v>876</v>
      </c>
      <c r="G52" s="292" t="s">
        <v>358</v>
      </c>
      <c r="H52" s="493" t="s">
        <v>557</v>
      </c>
      <c r="I52" s="494" t="s">
        <v>87</v>
      </c>
      <c r="J52" s="494" t="s">
        <v>87</v>
      </c>
      <c r="K52" s="493" t="s">
        <v>571</v>
      </c>
      <c r="L52" s="292" t="s">
        <v>786</v>
      </c>
      <c r="M52" s="515" t="s">
        <v>801</v>
      </c>
      <c r="N52" s="515" t="s">
        <v>793</v>
      </c>
      <c r="O52" s="494">
        <v>21</v>
      </c>
      <c r="P52" s="292"/>
    </row>
    <row r="53" spans="1:16" x14ac:dyDescent="0.25">
      <c r="A53" s="292" t="str">
        <f>_xlfn.CONCAT(donnée_haschich[[#This Row],[Nom produit]]," - ", donnée_haschich[[#This Row],[Variété]], IF(donnée_haschich[[#This Row],[Dominance ]]="-",,_xlfn.CONCAT(" (",donnée_haschich[[#This Row],[Dominance ]],")")))</f>
        <v>Haschtag Classique - En rotation</v>
      </c>
      <c r="B53" s="293">
        <v>814559000103</v>
      </c>
      <c r="C53" s="293" t="s">
        <v>87</v>
      </c>
      <c r="D53" s="292" t="s">
        <v>809</v>
      </c>
      <c r="E53" s="292" t="s">
        <v>87</v>
      </c>
      <c r="F53" s="292" t="s">
        <v>877</v>
      </c>
      <c r="G53" s="292" t="s">
        <v>264</v>
      </c>
      <c r="H53" s="292" t="s">
        <v>557</v>
      </c>
      <c r="I53" s="294" t="s">
        <v>87</v>
      </c>
      <c r="J53" s="292" t="s">
        <v>87</v>
      </c>
      <c r="K53" s="292" t="s">
        <v>791</v>
      </c>
      <c r="L53" s="292" t="s">
        <v>786</v>
      </c>
      <c r="M53" s="307" t="s">
        <v>797</v>
      </c>
      <c r="N53" s="307" t="s">
        <v>798</v>
      </c>
      <c r="O53" s="294">
        <v>44</v>
      </c>
      <c r="P53" s="292"/>
    </row>
    <row r="54" spans="1:16" ht="16.5" x14ac:dyDescent="0.3">
      <c r="A54" s="292" t="str">
        <f>_xlfn.CONCAT(donnée_haschich[[#This Row],[Nom produit]]," - ", donnée_haschich[[#This Row],[Variété]], IF(donnée_haschich[[#This Row],[Dominance ]]="-",,_xlfn.CONCAT(" (",donnée_haschich[[#This Row],[Dominance ]],")")))</f>
        <v>Haschtag Hash de Noé - Mélange</v>
      </c>
      <c r="B54" s="293"/>
      <c r="C54" s="292" t="s">
        <v>87</v>
      </c>
      <c r="D54" s="292" t="s">
        <v>726</v>
      </c>
      <c r="E54" s="292" t="s">
        <v>87</v>
      </c>
      <c r="F54" s="493" t="s">
        <v>878</v>
      </c>
      <c r="G54" s="292" t="s">
        <v>358</v>
      </c>
      <c r="H54" s="493" t="s">
        <v>557</v>
      </c>
      <c r="I54" s="494" t="s">
        <v>87</v>
      </c>
      <c r="J54" s="494" t="s">
        <v>87</v>
      </c>
      <c r="K54" s="493" t="s">
        <v>245</v>
      </c>
      <c r="L54" s="292" t="s">
        <v>786</v>
      </c>
      <c r="M54" s="515" t="s">
        <v>801</v>
      </c>
      <c r="N54" s="515" t="s">
        <v>824</v>
      </c>
      <c r="O54" s="494">
        <v>55.4</v>
      </c>
      <c r="P54" s="292"/>
    </row>
    <row r="55" spans="1:16" ht="16.5" x14ac:dyDescent="0.3">
      <c r="A55" s="292" t="str">
        <f>_xlfn.CONCAT(donnée_haschich[[#This Row],[Nom produit]]," - ", donnée_haschich[[#This Row],[Variété]], IF(donnée_haschich[[#This Row],[Dominance ]]="-",,_xlfn.CONCAT(" (",donnée_haschich[[#This Row],[Dominance ]],")")))</f>
        <v>Haschtag Hash de Rosine - Mélange</v>
      </c>
      <c r="B55" s="293"/>
      <c r="C55" s="292" t="s">
        <v>272</v>
      </c>
      <c r="D55" s="292" t="s">
        <v>726</v>
      </c>
      <c r="E55" s="292" t="s">
        <v>87</v>
      </c>
      <c r="F55" s="493" t="s">
        <v>879</v>
      </c>
      <c r="G55" s="292" t="s">
        <v>358</v>
      </c>
      <c r="H55" s="493" t="s">
        <v>557</v>
      </c>
      <c r="I55" s="494" t="s">
        <v>87</v>
      </c>
      <c r="J55" s="494" t="s">
        <v>87</v>
      </c>
      <c r="K55" s="493" t="s">
        <v>796</v>
      </c>
      <c r="L55" s="292" t="s">
        <v>786</v>
      </c>
      <c r="M55" s="515" t="s">
        <v>801</v>
      </c>
      <c r="N55" s="515" t="s">
        <v>824</v>
      </c>
      <c r="O55" s="495">
        <v>45</v>
      </c>
      <c r="P55" s="292"/>
    </row>
    <row r="56" spans="1:16" x14ac:dyDescent="0.25">
      <c r="A56" s="292" t="str">
        <f>_xlfn.CONCAT(donnée_haschich[[#This Row],[Nom produit]]," - ", donnée_haschich[[#This Row],[Variété]], IF(donnée_haschich[[#This Row],[Dominance ]]="-",,_xlfn.CONCAT(" (",donnée_haschich[[#This Row],[Dominance ]],")")))</f>
        <v>Hash - En rotation (Indica)</v>
      </c>
      <c r="B56" s="293">
        <v>827912001075</v>
      </c>
      <c r="C56" s="292" t="s">
        <v>87</v>
      </c>
      <c r="D56" s="292" t="s">
        <v>726</v>
      </c>
      <c r="E56" s="292" t="s">
        <v>135</v>
      </c>
      <c r="F56" s="305" t="s">
        <v>880</v>
      </c>
      <c r="G56" s="292" t="s">
        <v>264</v>
      </c>
      <c r="H56" s="306" t="s">
        <v>328</v>
      </c>
      <c r="I56" s="292" t="s">
        <v>738</v>
      </c>
      <c r="J56" s="292" t="s">
        <v>790</v>
      </c>
      <c r="K56" s="306" t="s">
        <v>796</v>
      </c>
      <c r="L56" s="292" t="s">
        <v>786</v>
      </c>
      <c r="M56" s="307" t="s">
        <v>804</v>
      </c>
      <c r="N56" s="307" t="s">
        <v>841</v>
      </c>
      <c r="O56" s="308">
        <v>31</v>
      </c>
      <c r="P56" s="292"/>
    </row>
    <row r="57" spans="1:16" ht="16.5" x14ac:dyDescent="0.3">
      <c r="A57" s="292" t="str">
        <f>_xlfn.CONCAT(donnée_haschich[[#This Row],[Nom produit]]," - ", donnée_haschich[[#This Row],[Variété]], IF(donnée_haschich[[#This Row],[Dominance ]]="-",,_xlfn.CONCAT(" (",donnée_haschich[[#This Row],[Dominance ]],")")))</f>
        <v>Hash #1 (1g) - Mélange</v>
      </c>
      <c r="B57" s="293"/>
      <c r="C57" s="292" t="s">
        <v>272</v>
      </c>
      <c r="D57" s="292" t="s">
        <v>726</v>
      </c>
      <c r="E57" s="292" t="s">
        <v>87</v>
      </c>
      <c r="F57" s="493" t="s">
        <v>881</v>
      </c>
      <c r="G57" s="292" t="s">
        <v>358</v>
      </c>
      <c r="H57" s="493" t="s">
        <v>570</v>
      </c>
      <c r="I57" s="494" t="s">
        <v>617</v>
      </c>
      <c r="J57" s="494" t="s">
        <v>616</v>
      </c>
      <c r="K57" s="493" t="s">
        <v>571</v>
      </c>
      <c r="L57" s="292" t="s">
        <v>786</v>
      </c>
      <c r="M57" s="515" t="s">
        <v>792</v>
      </c>
      <c r="N57" s="515" t="s">
        <v>793</v>
      </c>
      <c r="O57" s="494">
        <v>20.9</v>
      </c>
      <c r="P57" s="292"/>
    </row>
    <row r="58" spans="1:16" x14ac:dyDescent="0.25">
      <c r="A58" s="292" t="str">
        <f>_xlfn.CONCAT(donnée_haschich[[#This Row],[Nom produit]]," - ", donnée_haschich[[#This Row],[Variété]], IF(donnée_haschich[[#This Row],[Dominance ]]="-",,_xlfn.CONCAT(" (",donnée_haschich[[#This Row],[Dominance ]],")")))</f>
        <v>Hash #1 (2g) - Mélange</v>
      </c>
      <c r="B58" s="293">
        <v>870814007010</v>
      </c>
      <c r="C58" s="292" t="s">
        <v>272</v>
      </c>
      <c r="D58" s="292" t="s">
        <v>726</v>
      </c>
      <c r="E58" s="292" t="s">
        <v>87</v>
      </c>
      <c r="F58" s="305" t="s">
        <v>882</v>
      </c>
      <c r="G58" s="292" t="s">
        <v>358</v>
      </c>
      <c r="H58" s="306" t="s">
        <v>570</v>
      </c>
      <c r="I58" s="292" t="s">
        <v>790</v>
      </c>
      <c r="J58" s="292" t="s">
        <v>732</v>
      </c>
      <c r="K58" s="306" t="s">
        <v>796</v>
      </c>
      <c r="L58" s="292" t="s">
        <v>786</v>
      </c>
      <c r="M58" s="307" t="s">
        <v>87</v>
      </c>
      <c r="N58" s="307" t="s">
        <v>87</v>
      </c>
      <c r="O58" s="308">
        <v>41.5</v>
      </c>
      <c r="P58" s="292"/>
    </row>
    <row r="59" spans="1:16" x14ac:dyDescent="0.25">
      <c r="A59" s="292" t="str">
        <f>_xlfn.CONCAT(donnée_haschich[[#This Row],[Nom produit]]," - ", donnée_haschich[[#This Row],[Variété]], IF(donnée_haschich[[#This Row],[Dominance ]]="-",,_xlfn.CONCAT(" (",donnée_haschich[[#This Row],[Dominance ]],")")))</f>
        <v>Hash Fût de Chêne - Mélange (Indica)</v>
      </c>
      <c r="B59" s="293">
        <v>827763002733</v>
      </c>
      <c r="C59" s="292" t="s">
        <v>87</v>
      </c>
      <c r="D59" s="292" t="s">
        <v>726</v>
      </c>
      <c r="E59" s="292" t="s">
        <v>135</v>
      </c>
      <c r="F59" s="305" t="s">
        <v>883</v>
      </c>
      <c r="G59" s="292" t="s">
        <v>358</v>
      </c>
      <c r="H59" s="306" t="s">
        <v>265</v>
      </c>
      <c r="I59" s="292" t="s">
        <v>790</v>
      </c>
      <c r="J59" s="292" t="s">
        <v>616</v>
      </c>
      <c r="K59" s="306" t="s">
        <v>791</v>
      </c>
      <c r="L59" s="292" t="s">
        <v>786</v>
      </c>
      <c r="M59" s="307" t="s">
        <v>805</v>
      </c>
      <c r="N59" s="307" t="s">
        <v>798</v>
      </c>
      <c r="O59" s="308">
        <v>60</v>
      </c>
      <c r="P59" s="292"/>
    </row>
    <row r="60" spans="1:16" x14ac:dyDescent="0.25">
      <c r="A60" s="292" t="str">
        <f>_xlfn.CONCAT(donnée_haschich[[#This Row],[Nom produit]]," - ", donnée_haschich[[#This Row],[Variété]], IF(donnée_haschich[[#This Row],[Dominance ]]="-",,_xlfn.CONCAT(" (",donnée_haschich[[#This Row],[Dominance ]],")")))</f>
        <v>Hash Temple Ball - Mélange</v>
      </c>
      <c r="B60" s="293">
        <v>826966012693</v>
      </c>
      <c r="C60" s="292" t="s">
        <v>87</v>
      </c>
      <c r="D60" s="292" t="s">
        <v>726</v>
      </c>
      <c r="E60" s="292" t="s">
        <v>87</v>
      </c>
      <c r="F60" s="305" t="s">
        <v>884</v>
      </c>
      <c r="G60" s="292" t="s">
        <v>358</v>
      </c>
      <c r="H60" s="306" t="s">
        <v>307</v>
      </c>
      <c r="I60" s="292" t="s">
        <v>616</v>
      </c>
      <c r="J60" s="292" t="s">
        <v>757</v>
      </c>
      <c r="K60" s="306" t="s">
        <v>791</v>
      </c>
      <c r="L60" s="292" t="s">
        <v>786</v>
      </c>
      <c r="M60" s="307" t="s">
        <v>804</v>
      </c>
      <c r="N60" s="307" t="s">
        <v>798</v>
      </c>
      <c r="O60" s="308">
        <v>46.5</v>
      </c>
      <c r="P60" s="292"/>
    </row>
    <row r="61" spans="1:16" x14ac:dyDescent="0.25">
      <c r="A61" s="292" t="str">
        <f>_xlfn.CONCAT(donnée_haschich[[#This Row],[Nom produit]]," - ", donnée_haschich[[#This Row],[Variété]], IF(donnée_haschich[[#This Row],[Dominance ]]="-",,_xlfn.CONCAT(" (",donnée_haschich[[#This Row],[Dominance ]],")")))</f>
        <v>Hashish Tremblant - Mélange (Indica)</v>
      </c>
      <c r="B61" s="293">
        <v>817048000066</v>
      </c>
      <c r="C61" s="292" t="s">
        <v>272</v>
      </c>
      <c r="D61" s="292" t="s">
        <v>726</v>
      </c>
      <c r="E61" s="292" t="s">
        <v>135</v>
      </c>
      <c r="F61" s="305" t="s">
        <v>885</v>
      </c>
      <c r="G61" s="292" t="s">
        <v>358</v>
      </c>
      <c r="H61" s="306" t="s">
        <v>860</v>
      </c>
      <c r="I61" s="292" t="s">
        <v>616</v>
      </c>
      <c r="J61" s="292" t="s">
        <v>732</v>
      </c>
      <c r="K61" s="306" t="s">
        <v>245</v>
      </c>
      <c r="L61" s="292" t="s">
        <v>786</v>
      </c>
      <c r="M61" s="307" t="s">
        <v>797</v>
      </c>
      <c r="N61" s="307" t="s">
        <v>798</v>
      </c>
      <c r="O61" s="308">
        <v>56.1</v>
      </c>
      <c r="P61" s="292"/>
    </row>
    <row r="62" spans="1:16" x14ac:dyDescent="0.25">
      <c r="A62" s="292" t="str">
        <f>_xlfn.CONCAT(donnée_haschich[[#This Row],[Nom produit]]," - ", donnée_haschich[[#This Row],[Variété]], IF(donnée_haschich[[#This Row],[Dominance ]]="-",,_xlfn.CONCAT(" (",donnée_haschich[[#This Row],[Dominance ]],")")))</f>
        <v>Ice Water Hash - En rotation</v>
      </c>
      <c r="B62" s="293">
        <v>628124810017</v>
      </c>
      <c r="C62" s="292" t="s">
        <v>272</v>
      </c>
      <c r="D62" s="292" t="s">
        <v>726</v>
      </c>
      <c r="E62" s="292" t="s">
        <v>87</v>
      </c>
      <c r="F62" s="305" t="s">
        <v>886</v>
      </c>
      <c r="G62" s="292" t="s">
        <v>264</v>
      </c>
      <c r="H62" s="306" t="s">
        <v>237</v>
      </c>
      <c r="I62" s="292" t="s">
        <v>738</v>
      </c>
      <c r="J62" s="292" t="s">
        <v>617</v>
      </c>
      <c r="K62" s="306" t="s">
        <v>571</v>
      </c>
      <c r="L62" s="292" t="s">
        <v>786</v>
      </c>
      <c r="M62" s="307" t="s">
        <v>805</v>
      </c>
      <c r="N62" s="307" t="s">
        <v>798</v>
      </c>
      <c r="O62" s="308">
        <v>29.8</v>
      </c>
      <c r="P62" s="292"/>
    </row>
    <row r="63" spans="1:16" x14ac:dyDescent="0.25">
      <c r="A63" s="292" t="str">
        <f>_xlfn.CONCAT(donnée_haschich[[#This Row],[Nom produit]]," - ", donnée_haschich[[#This Row],[Variété]], IF(donnée_haschich[[#This Row],[Dominance ]]="-",,_xlfn.CONCAT(" (",donnée_haschich[[#This Row],[Dominance ]],")")))</f>
        <v>Jean Guy Temple Ball Hash - Jean Guy (Sativa)</v>
      </c>
      <c r="B63" s="293"/>
      <c r="C63" s="292" t="s">
        <v>87</v>
      </c>
      <c r="D63" s="292"/>
      <c r="E63" s="292" t="s">
        <v>137</v>
      </c>
      <c r="F63" s="305" t="s">
        <v>887</v>
      </c>
      <c r="G63" s="292" t="s">
        <v>140</v>
      </c>
      <c r="H63" s="306" t="s">
        <v>220</v>
      </c>
      <c r="I63" s="292"/>
      <c r="J63" s="292"/>
      <c r="K63" s="306" t="s">
        <v>245</v>
      </c>
      <c r="L63" s="292"/>
      <c r="M63" s="307" t="s">
        <v>797</v>
      </c>
      <c r="N63" s="307" t="s">
        <v>798</v>
      </c>
      <c r="O63" s="308">
        <v>50.6</v>
      </c>
      <c r="P63" s="292"/>
    </row>
    <row r="64" spans="1:16" x14ac:dyDescent="0.25">
      <c r="A64" s="292" t="str">
        <f>_xlfn.CONCAT(donnée_haschich[[#This Row],[Nom produit]]," - ", donnée_haschich[[#This Row],[Variété]], IF(donnée_haschich[[#This Row],[Dominance ]]="-",,_xlfn.CONCAT(" (",donnée_haschich[[#This Row],[Dominance ]],")")))</f>
        <v>La Libanaise - Génétique du fournisseur (Indica)</v>
      </c>
      <c r="B64" s="293">
        <v>628176600819</v>
      </c>
      <c r="C64" s="292" t="s">
        <v>87</v>
      </c>
      <c r="D64" s="292" t="s">
        <v>726</v>
      </c>
      <c r="E64" s="292" t="s">
        <v>135</v>
      </c>
      <c r="F64" s="305" t="s">
        <v>888</v>
      </c>
      <c r="G64" s="292" t="s">
        <v>304</v>
      </c>
      <c r="H64" s="306" t="s">
        <v>838</v>
      </c>
      <c r="I64" s="292" t="s">
        <v>616</v>
      </c>
      <c r="J64" s="292" t="s">
        <v>800</v>
      </c>
      <c r="K64" s="306" t="s">
        <v>796</v>
      </c>
      <c r="L64" s="292" t="s">
        <v>786</v>
      </c>
      <c r="M64" s="307" t="s">
        <v>805</v>
      </c>
      <c r="N64" s="307" t="s">
        <v>806</v>
      </c>
      <c r="O64" s="308">
        <v>39.9</v>
      </c>
      <c r="P64" s="292"/>
    </row>
    <row r="65" spans="1:16" x14ac:dyDescent="0.25">
      <c r="A65" s="292" t="str">
        <f>_xlfn.CONCAT(donnée_haschich[[#This Row],[Nom produit]]," - ", donnée_haschich[[#This Row],[Variété]], IF(donnée_haschich[[#This Row],[Dominance ]]="-",,_xlfn.CONCAT(" (",donnée_haschich[[#This Row],[Dominance ]],")")))</f>
        <v>La Marocaine - Génétique du fournisseur (Indica)</v>
      </c>
      <c r="B65" s="293">
        <v>628176600680</v>
      </c>
      <c r="C65" s="292" t="s">
        <v>87</v>
      </c>
      <c r="D65" s="292" t="s">
        <v>726</v>
      </c>
      <c r="E65" s="292" t="s">
        <v>135</v>
      </c>
      <c r="F65" s="305" t="s">
        <v>889</v>
      </c>
      <c r="G65" s="292" t="s">
        <v>304</v>
      </c>
      <c r="H65" s="306" t="s">
        <v>838</v>
      </c>
      <c r="I65" s="292" t="s">
        <v>800</v>
      </c>
      <c r="J65" s="292" t="s">
        <v>790</v>
      </c>
      <c r="K65" s="306" t="s">
        <v>571</v>
      </c>
      <c r="L65" s="292" t="s">
        <v>786</v>
      </c>
      <c r="M65" s="307" t="s">
        <v>805</v>
      </c>
      <c r="N65" s="307" t="s">
        <v>806</v>
      </c>
      <c r="O65" s="308">
        <v>21.7</v>
      </c>
      <c r="P65" s="292"/>
    </row>
    <row r="66" spans="1:16" x14ac:dyDescent="0.25">
      <c r="A66" s="292" t="str">
        <f>_xlfn.CONCAT(donnée_haschich[[#This Row],[Nom produit]]," - ", donnée_haschich[[#This Row],[Variété]], IF(donnée_haschich[[#This Row],[Dominance ]]="-",,_xlfn.CONCAT(" (",donnée_haschich[[#This Row],[Dominance ]],")")))</f>
        <v>La Marocaine (3) - Génétique du fournisseur (Indica)</v>
      </c>
      <c r="B66" s="293">
        <v>628176600697</v>
      </c>
      <c r="C66" s="292" t="s">
        <v>87</v>
      </c>
      <c r="D66" s="292" t="s">
        <v>726</v>
      </c>
      <c r="E66" s="292" t="s">
        <v>135</v>
      </c>
      <c r="F66" s="305" t="s">
        <v>890</v>
      </c>
      <c r="G66" s="292" t="s">
        <v>304</v>
      </c>
      <c r="H66" s="306" t="s">
        <v>838</v>
      </c>
      <c r="I66" s="292" t="s">
        <v>800</v>
      </c>
      <c r="J66" s="292" t="s">
        <v>790</v>
      </c>
      <c r="K66" s="306" t="s">
        <v>791</v>
      </c>
      <c r="L66" s="292" t="s">
        <v>786</v>
      </c>
      <c r="M66" s="307" t="s">
        <v>805</v>
      </c>
      <c r="N66" s="307" t="s">
        <v>806</v>
      </c>
      <c r="O66" s="308">
        <v>64.900000000000006</v>
      </c>
      <c r="P66" s="292"/>
    </row>
    <row r="67" spans="1:16" x14ac:dyDescent="0.25">
      <c r="A67" s="292" t="str">
        <f>_xlfn.CONCAT(donnée_haschich[[#This Row],[Nom produit]]," - ", donnée_haschich[[#This Row],[Variété]], IF(donnée_haschich[[#This Row],[Dominance ]]="-",,_xlfn.CONCAT(" (",donnée_haschich[[#This Row],[Dominance ]],")")))</f>
        <v>La Népalaise - Génétique du fournisseur (Sativa)</v>
      </c>
      <c r="B67" s="293">
        <v>628176600840</v>
      </c>
      <c r="C67" s="292" t="s">
        <v>272</v>
      </c>
      <c r="D67" s="292" t="s">
        <v>726</v>
      </c>
      <c r="E67" s="292" t="s">
        <v>137</v>
      </c>
      <c r="F67" s="305" t="s">
        <v>891</v>
      </c>
      <c r="G67" s="292" t="s">
        <v>304</v>
      </c>
      <c r="H67" s="306" t="s">
        <v>838</v>
      </c>
      <c r="I67" s="292" t="s">
        <v>738</v>
      </c>
      <c r="J67" s="292" t="s">
        <v>732</v>
      </c>
      <c r="K67" s="306" t="s">
        <v>791</v>
      </c>
      <c r="L67" s="292" t="s">
        <v>786</v>
      </c>
      <c r="M67" s="307" t="s">
        <v>804</v>
      </c>
      <c r="N67" s="307" t="s">
        <v>841</v>
      </c>
      <c r="O67" s="308">
        <v>59.9</v>
      </c>
      <c r="P67" s="292"/>
    </row>
    <row r="68" spans="1:16" x14ac:dyDescent="0.25">
      <c r="A68" s="292" t="str">
        <f>_xlfn.CONCAT(donnée_haschich[[#This Row],[Nom produit]]," - ", donnée_haschich[[#This Row],[Variété]], IF(donnée_haschich[[#This Row],[Dominance ]]="-",,_xlfn.CONCAT(" (",donnée_haschich[[#This Row],[Dominance ]],")")))</f>
        <v>Le Citral - Critical Orange Punch (Indica)</v>
      </c>
      <c r="B68" s="293">
        <v>628176600703</v>
      </c>
      <c r="C68" s="292" t="s">
        <v>272</v>
      </c>
      <c r="D68" s="292" t="s">
        <v>726</v>
      </c>
      <c r="E68" s="292" t="s">
        <v>135</v>
      </c>
      <c r="F68" s="305" t="s">
        <v>892</v>
      </c>
      <c r="G68" s="292" t="s">
        <v>893</v>
      </c>
      <c r="H68" s="306" t="s">
        <v>838</v>
      </c>
      <c r="I68" s="292" t="s">
        <v>732</v>
      </c>
      <c r="J68" s="292" t="s">
        <v>790</v>
      </c>
      <c r="K68" s="306" t="s">
        <v>791</v>
      </c>
      <c r="L68" s="292" t="s">
        <v>786</v>
      </c>
      <c r="M68" s="307" t="s">
        <v>805</v>
      </c>
      <c r="N68" s="307" t="s">
        <v>798</v>
      </c>
      <c r="O68" s="308">
        <v>54.9</v>
      </c>
      <c r="P68" s="292"/>
    </row>
    <row r="69" spans="1:16" x14ac:dyDescent="0.25">
      <c r="A69" s="292" t="str">
        <f>_xlfn.CONCAT(donnée_haschich[[#This Row],[Nom produit]]," - ", donnée_haschich[[#This Row],[Variété]], IF(donnée_haschich[[#This Row],[Dominance ]]="-",,_xlfn.CONCAT(" (",donnée_haschich[[#This Row],[Dominance ]],")")))</f>
        <v>Le Kush X - Kush Cookies</v>
      </c>
      <c r="B69" s="293">
        <v>628011336552</v>
      </c>
      <c r="C69" s="293" t="s">
        <v>272</v>
      </c>
      <c r="D69" s="294" t="s">
        <v>809</v>
      </c>
      <c r="E69" s="292" t="s">
        <v>87</v>
      </c>
      <c r="F69" s="292" t="s">
        <v>894</v>
      </c>
      <c r="G69" s="294" t="s">
        <v>839</v>
      </c>
      <c r="H69" s="292" t="s">
        <v>795</v>
      </c>
      <c r="I69" s="294" t="s">
        <v>616</v>
      </c>
      <c r="J69" s="292" t="s">
        <v>737</v>
      </c>
      <c r="K69" s="292" t="s">
        <v>796</v>
      </c>
      <c r="L69" s="292" t="s">
        <v>786</v>
      </c>
      <c r="M69" s="315" t="s">
        <v>805</v>
      </c>
      <c r="N69" s="315" t="s">
        <v>841</v>
      </c>
      <c r="O69" s="294">
        <v>35.5</v>
      </c>
      <c r="P69" s="292"/>
    </row>
    <row r="70" spans="1:16" ht="16.5" x14ac:dyDescent="0.3">
      <c r="A70" s="292" t="str">
        <f>_xlfn.CONCAT(donnée_haschich[[#This Row],[Nom produit]]," - ", donnée_haschich[[#This Row],[Variété]], IF(donnée_haschich[[#This Row],[Dominance ]]="-",,_xlfn.CONCAT(" (",donnée_haschich[[#This Row],[Dominance ]],")")))</f>
        <v>Lemon Skunk -  (Sativa)</v>
      </c>
      <c r="B70" s="293"/>
      <c r="C70" s="292" t="s">
        <v>87</v>
      </c>
      <c r="D70" s="292" t="s">
        <v>726</v>
      </c>
      <c r="E70" s="292" t="s">
        <v>137</v>
      </c>
      <c r="F70" s="493" t="s">
        <v>316</v>
      </c>
      <c r="G70" s="292"/>
      <c r="H70" s="493" t="s">
        <v>795</v>
      </c>
      <c r="I70" s="494" t="s">
        <v>737</v>
      </c>
      <c r="J70" s="494" t="s">
        <v>738</v>
      </c>
      <c r="K70" s="493" t="s">
        <v>796</v>
      </c>
      <c r="L70" s="292" t="s">
        <v>786</v>
      </c>
      <c r="M70" s="515" t="s">
        <v>792</v>
      </c>
      <c r="N70" s="515" t="s">
        <v>793</v>
      </c>
      <c r="O70" s="494">
        <v>31.8</v>
      </c>
      <c r="P70" s="292"/>
    </row>
    <row r="71" spans="1:16" x14ac:dyDescent="0.25">
      <c r="A71" s="292" t="str">
        <f>_xlfn.CONCAT(donnée_haschich[[#This Row],[Nom produit]]," - ", donnée_haschich[[#This Row],[Variété]], IF(donnée_haschich[[#This Row],[Dominance ]]="-",,_xlfn.CONCAT(" (",donnée_haschich[[#This Row],[Dominance ]],")")))</f>
        <v>Louvre - Mélange (Indica)</v>
      </c>
      <c r="B71" s="293"/>
      <c r="C71" s="293" t="s">
        <v>272</v>
      </c>
      <c r="D71" s="294" t="s">
        <v>809</v>
      </c>
      <c r="E71" s="292" t="s">
        <v>135</v>
      </c>
      <c r="F71" s="305" t="s">
        <v>895</v>
      </c>
      <c r="G71" s="294" t="s">
        <v>358</v>
      </c>
      <c r="H71" s="306" t="s">
        <v>830</v>
      </c>
      <c r="I71" s="294" t="s">
        <v>737</v>
      </c>
      <c r="J71" s="292" t="s">
        <v>790</v>
      </c>
      <c r="K71" s="306" t="s">
        <v>796</v>
      </c>
      <c r="L71" s="292" t="s">
        <v>786</v>
      </c>
      <c r="M71" s="307" t="s">
        <v>797</v>
      </c>
      <c r="N71" s="307" t="s">
        <v>798</v>
      </c>
      <c r="O71" s="417">
        <v>26.7</v>
      </c>
      <c r="P71" s="292"/>
    </row>
    <row r="72" spans="1:16" x14ac:dyDescent="0.25">
      <c r="A72" s="292" t="str">
        <f>_xlfn.CONCAT(donnée_haschich[[#This Row],[Nom produit]]," - ", donnée_haschich[[#This Row],[Variété]], IF(donnée_haschich[[#This Row],[Dominance ]]="-",,_xlfn.CONCAT(" (",donnée_haschich[[#This Row],[Dominance ]],")")))</f>
        <v>Mangue - En rotation</v>
      </c>
      <c r="B72" s="335">
        <v>628942090103</v>
      </c>
      <c r="C72" s="292" t="s">
        <v>272</v>
      </c>
      <c r="D72" s="292" t="s">
        <v>726</v>
      </c>
      <c r="E72" s="292" t="s">
        <v>87</v>
      </c>
      <c r="F72" s="325" t="s">
        <v>896</v>
      </c>
      <c r="G72" s="292" t="s">
        <v>264</v>
      </c>
      <c r="H72" s="325" t="s">
        <v>897</v>
      </c>
      <c r="I72" s="292"/>
      <c r="J72" s="292"/>
      <c r="K72" s="325" t="s">
        <v>796</v>
      </c>
      <c r="L72" s="292" t="s">
        <v>786</v>
      </c>
      <c r="M72" s="307" t="s">
        <v>804</v>
      </c>
      <c r="N72" s="307" t="s">
        <v>841</v>
      </c>
      <c r="O72" s="327">
        <v>36.5</v>
      </c>
      <c r="P72" s="292"/>
    </row>
    <row r="73" spans="1:16" x14ac:dyDescent="0.25">
      <c r="A73" s="292" t="str">
        <f>_xlfn.CONCAT(donnée_haschich[[#This Row],[Nom produit]]," - ", donnée_haschich[[#This Row],[Variété]], IF(donnée_haschich[[#This Row],[Dominance ]]="-",,_xlfn.CONCAT(" (",donnée_haschich[[#This Row],[Dominance ]],")")))</f>
        <v>Marrakech Gold Biologique - Mélange (Sativa)</v>
      </c>
      <c r="B73" s="293">
        <v>827763000814</v>
      </c>
      <c r="C73" s="292" t="s">
        <v>87</v>
      </c>
      <c r="D73" s="292" t="s">
        <v>726</v>
      </c>
      <c r="E73" s="292" t="s">
        <v>137</v>
      </c>
      <c r="F73" s="305" t="s">
        <v>898</v>
      </c>
      <c r="G73" s="292" t="s">
        <v>358</v>
      </c>
      <c r="H73" s="306" t="s">
        <v>265</v>
      </c>
      <c r="I73" s="292" t="s">
        <v>732</v>
      </c>
      <c r="J73" s="292" t="s">
        <v>757</v>
      </c>
      <c r="K73" s="306" t="s">
        <v>796</v>
      </c>
      <c r="L73" s="292" t="s">
        <v>786</v>
      </c>
      <c r="M73" s="307" t="s">
        <v>805</v>
      </c>
      <c r="N73" s="307" t="s">
        <v>841</v>
      </c>
      <c r="O73" s="308">
        <v>34.9</v>
      </c>
      <c r="P73" s="292"/>
    </row>
    <row r="74" spans="1:16" x14ac:dyDescent="0.25">
      <c r="A74" s="292" t="str">
        <f>_xlfn.CONCAT(donnée_haschich[[#This Row],[Nom produit]]," - ", donnée_haschich[[#This Row],[Variété]], IF(donnée_haschich[[#This Row],[Dominance ]]="-",,_xlfn.CONCAT(" (",donnée_haschich[[#This Row],[Dominance ]],")")))</f>
        <v>Mazar Sharif - Koffee (Indica)</v>
      </c>
      <c r="B74" s="293">
        <v>628176600727</v>
      </c>
      <c r="C74" s="293" t="s">
        <v>272</v>
      </c>
      <c r="D74" s="292" t="s">
        <v>809</v>
      </c>
      <c r="E74" s="292" t="s">
        <v>135</v>
      </c>
      <c r="F74" s="292" t="s">
        <v>899</v>
      </c>
      <c r="G74" s="292" t="s">
        <v>900</v>
      </c>
      <c r="H74" s="292" t="s">
        <v>838</v>
      </c>
      <c r="I74" s="294" t="s">
        <v>738</v>
      </c>
      <c r="J74" s="292" t="s">
        <v>616</v>
      </c>
      <c r="K74" s="292" t="s">
        <v>791</v>
      </c>
      <c r="L74" s="292" t="s">
        <v>786</v>
      </c>
      <c r="M74" s="307" t="s">
        <v>797</v>
      </c>
      <c r="N74" s="307" t="s">
        <v>798</v>
      </c>
      <c r="O74" s="294">
        <v>69.900000000000006</v>
      </c>
      <c r="P74" s="292"/>
    </row>
    <row r="75" spans="1:16" x14ac:dyDescent="0.25">
      <c r="A75" s="292" t="str">
        <f>_xlfn.CONCAT(donnée_haschich[[#This Row],[Nom produit]]," - ", donnée_haschich[[#This Row],[Variété]], IF(donnée_haschich[[#This Row],[Dominance ]]="-",,_xlfn.CONCAT(" (",donnée_haschich[[#This Row],[Dominance ]],")")))</f>
        <v>Moitié-Moitié - Orange Special Hill</v>
      </c>
      <c r="B75" s="293">
        <v>628176600390</v>
      </c>
      <c r="C75" s="292" t="s">
        <v>87</v>
      </c>
      <c r="D75" s="292" t="s">
        <v>726</v>
      </c>
      <c r="E75" s="292" t="s">
        <v>87</v>
      </c>
      <c r="F75" s="305" t="s">
        <v>901</v>
      </c>
      <c r="G75" s="292" t="s">
        <v>902</v>
      </c>
      <c r="H75" s="306" t="s">
        <v>840</v>
      </c>
      <c r="I75" s="292" t="s">
        <v>738</v>
      </c>
      <c r="J75" s="292" t="s">
        <v>616</v>
      </c>
      <c r="K75" s="306" t="s">
        <v>796</v>
      </c>
      <c r="L75" s="292" t="s">
        <v>786</v>
      </c>
      <c r="M75" s="307" t="s">
        <v>805</v>
      </c>
      <c r="N75" s="307" t="s">
        <v>841</v>
      </c>
      <c r="O75" s="308">
        <v>54.9</v>
      </c>
      <c r="P75" s="292"/>
    </row>
    <row r="76" spans="1:16" x14ac:dyDescent="0.25">
      <c r="A76" s="292" t="str">
        <f>_xlfn.CONCAT(donnée_haschich[[#This Row],[Nom produit]]," - ", donnée_haschich[[#This Row],[Variété]], IF(donnée_haschich[[#This Row],[Dominance ]]="-",,_xlfn.CONCAT(" (",donnée_haschich[[#This Row],[Dominance ]],")")))</f>
        <v>OG Hawaïenne - Pineapple Express</v>
      </c>
      <c r="B76" s="319">
        <v>628011336545</v>
      </c>
      <c r="C76" t="s">
        <v>272</v>
      </c>
      <c r="E76" t="s">
        <v>87</v>
      </c>
      <c r="F76" t="s">
        <v>903</v>
      </c>
      <c r="G76" t="s">
        <v>904</v>
      </c>
      <c r="H76" t="s">
        <v>795</v>
      </c>
      <c r="I76" t="s">
        <v>732</v>
      </c>
      <c r="J76" t="s">
        <v>737</v>
      </c>
      <c r="K76" t="s">
        <v>791</v>
      </c>
      <c r="L76"/>
      <c r="M76" s="323" t="s">
        <v>797</v>
      </c>
      <c r="N76" s="323" t="s">
        <v>798</v>
      </c>
      <c r="O76">
        <v>51</v>
      </c>
      <c r="P76" s="292"/>
    </row>
    <row r="77" spans="1:16" x14ac:dyDescent="0.25">
      <c r="A77" s="292" t="str">
        <f>_xlfn.CONCAT(donnée_haschich[[#This Row],[Nom produit]]," - ", donnée_haschich[[#This Row],[Variété]], IF(donnée_haschich[[#This Row],[Dominance ]]="-",,_xlfn.CONCAT(" (",donnée_haschich[[#This Row],[Dominance ]],")")))</f>
        <v>Old School Hash - En rotation</v>
      </c>
      <c r="B77" s="293">
        <v>628124830015</v>
      </c>
      <c r="C77" s="292" t="s">
        <v>272</v>
      </c>
      <c r="D77" s="292" t="s">
        <v>726</v>
      </c>
      <c r="E77" s="292" t="s">
        <v>87</v>
      </c>
      <c r="F77" s="305" t="s">
        <v>905</v>
      </c>
      <c r="G77" s="292" t="s">
        <v>264</v>
      </c>
      <c r="H77" s="306" t="s">
        <v>237</v>
      </c>
      <c r="I77" s="292" t="s">
        <v>732</v>
      </c>
      <c r="J77" s="292" t="s">
        <v>737</v>
      </c>
      <c r="K77" s="306" t="s">
        <v>791</v>
      </c>
      <c r="L77" s="292" t="s">
        <v>786</v>
      </c>
      <c r="M77" s="307" t="s">
        <v>805</v>
      </c>
      <c r="N77" s="307" t="s">
        <v>798</v>
      </c>
      <c r="O77" s="308">
        <v>46.7</v>
      </c>
      <c r="P77" s="292"/>
    </row>
    <row r="78" spans="1:16" x14ac:dyDescent="0.25">
      <c r="A78" s="292" t="str">
        <f>_xlfn.CONCAT(donnée_haschich[[#This Row],[Nom produit]]," - ", donnée_haschich[[#This Row],[Variété]], IF(donnée_haschich[[#This Row],[Dominance ]]="-",,_xlfn.CONCAT(" (",donnée_haschich[[#This Row],[Dominance ]],")")))</f>
        <v>Ono Onyx - Mélange</v>
      </c>
      <c r="B78" s="293"/>
      <c r="C78" s="292" t="s">
        <v>272</v>
      </c>
      <c r="D78" s="292"/>
      <c r="E78" s="292" t="s">
        <v>87</v>
      </c>
      <c r="F78" s="305" t="s">
        <v>906</v>
      </c>
      <c r="G78" s="292" t="s">
        <v>358</v>
      </c>
      <c r="H78" s="306" t="s">
        <v>907</v>
      </c>
      <c r="I78" s="292" t="s">
        <v>732</v>
      </c>
      <c r="J78" s="292" t="s">
        <v>737</v>
      </c>
      <c r="K78" s="306" t="s">
        <v>791</v>
      </c>
      <c r="L78" s="292"/>
      <c r="M78" s="307" t="s">
        <v>797</v>
      </c>
      <c r="N78" s="307" t="s">
        <v>841</v>
      </c>
      <c r="O78" s="308">
        <v>49.9</v>
      </c>
      <c r="P78" s="292"/>
    </row>
    <row r="79" spans="1:16" x14ac:dyDescent="0.25">
      <c r="A79" s="292" t="str">
        <f>_xlfn.CONCAT(donnée_haschich[[#This Row],[Nom produit]]," - ", donnée_haschich[[#This Row],[Variété]], IF(donnée_haschich[[#This Row],[Dominance ]]="-",,_xlfn.CONCAT(" (",donnée_haschich[[#This Row],[Dominance ]],")")))</f>
        <v>Origine Haschich - Mandarin Cherry</v>
      </c>
      <c r="B79" s="293">
        <v>666592000530</v>
      </c>
      <c r="C79" s="293" t="s">
        <v>272</v>
      </c>
      <c r="D79" s="292" t="s">
        <v>809</v>
      </c>
      <c r="E79" s="292" t="s">
        <v>87</v>
      </c>
      <c r="F79" s="292" t="s">
        <v>908</v>
      </c>
      <c r="G79" s="292" t="s">
        <v>909</v>
      </c>
      <c r="H79" s="292" t="s">
        <v>910</v>
      </c>
      <c r="I79" s="294" t="s">
        <v>732</v>
      </c>
      <c r="J79" s="292" t="s">
        <v>617</v>
      </c>
      <c r="K79" s="292" t="s">
        <v>571</v>
      </c>
      <c r="L79" s="292" t="s">
        <v>786</v>
      </c>
      <c r="M79" s="307" t="s">
        <v>844</v>
      </c>
      <c r="N79" s="307" t="s">
        <v>798</v>
      </c>
      <c r="O79" s="294">
        <v>24.2</v>
      </c>
      <c r="P79" s="292"/>
    </row>
    <row r="80" spans="1:16" x14ac:dyDescent="0.25">
      <c r="A80" s="292" t="str">
        <f>_xlfn.CONCAT(donnée_haschich[[#This Row],[Nom produit]]," - ", donnée_haschich[[#This Row],[Variété]], IF(donnée_haschich[[#This Row],[Dominance ]]="-",,_xlfn.CONCAT(" (",donnée_haschich[[#This Row],[Dominance ]],")")))</f>
        <v>Origine Haschich (2g) - Mandarin Cherry</v>
      </c>
      <c r="B80" s="158">
        <v>666592000547</v>
      </c>
      <c r="C80" s="158" t="s">
        <v>272</v>
      </c>
      <c r="D80" s="158" t="s">
        <v>786</v>
      </c>
      <c r="E80" s="158" t="s">
        <v>87</v>
      </c>
      <c r="F80" s="158" t="s">
        <v>911</v>
      </c>
      <c r="G80" s="158" t="s">
        <v>909</v>
      </c>
      <c r="H80" s="158" t="s">
        <v>910</v>
      </c>
      <c r="I80" s="158" t="s">
        <v>732</v>
      </c>
      <c r="J80" s="158" t="s">
        <v>617</v>
      </c>
      <c r="K80" s="158" t="s">
        <v>796</v>
      </c>
      <c r="L80" s="158"/>
      <c r="M80" s="421" t="s">
        <v>804</v>
      </c>
      <c r="N80" s="421" t="s">
        <v>798</v>
      </c>
      <c r="O80" s="158">
        <v>48.4</v>
      </c>
      <c r="P80" s="292"/>
    </row>
    <row r="81" spans="1:16" x14ac:dyDescent="0.25">
      <c r="A81" s="292" t="str">
        <f>_xlfn.CONCAT(donnée_haschich[[#This Row],[Nom produit]]," - ", donnée_haschich[[#This Row],[Variété]], IF(donnée_haschich[[#This Row],[Dominance ]]="-",,_xlfn.CONCAT(" (",donnée_haschich[[#This Row],[Dominance ]],")")))</f>
        <v>OS.Hash - Northern Berry (Indica)</v>
      </c>
      <c r="B81" s="293"/>
      <c r="C81" s="292" t="s">
        <v>272</v>
      </c>
      <c r="D81" s="292" t="s">
        <v>726</v>
      </c>
      <c r="E81" s="292" t="s">
        <v>135</v>
      </c>
      <c r="F81" s="305" t="s">
        <v>912</v>
      </c>
      <c r="G81" s="292" t="s">
        <v>512</v>
      </c>
      <c r="H81" s="306" t="s">
        <v>288</v>
      </c>
      <c r="I81" s="292" t="s">
        <v>790</v>
      </c>
      <c r="J81" s="292" t="s">
        <v>87</v>
      </c>
      <c r="K81" s="306" t="s">
        <v>791</v>
      </c>
      <c r="L81" s="292" t="s">
        <v>786</v>
      </c>
      <c r="M81" s="307" t="s">
        <v>804</v>
      </c>
      <c r="N81" s="307" t="s">
        <v>798</v>
      </c>
      <c r="O81" s="308">
        <v>46.1</v>
      </c>
      <c r="P81" s="292"/>
    </row>
    <row r="82" spans="1:16" x14ac:dyDescent="0.25">
      <c r="A82" s="292" t="str">
        <f>_xlfn.CONCAT(donnée_haschich[[#This Row],[Nom produit]]," - ", donnée_haschich[[#This Row],[Variété]], IF(donnée_haschich[[#This Row],[Dominance ]]="-",,_xlfn.CONCAT(" (",donnée_haschich[[#This Row],[Dominance ]],")")))</f>
        <v>OS.HASH Mélange Indica 2g - Mélange (Indica)</v>
      </c>
      <c r="B82" s="293">
        <v>697238114991</v>
      </c>
      <c r="C82" s="292" t="s">
        <v>272</v>
      </c>
      <c r="D82" s="292" t="s">
        <v>726</v>
      </c>
      <c r="E82" s="292" t="s">
        <v>135</v>
      </c>
      <c r="F82" s="305" t="s">
        <v>913</v>
      </c>
      <c r="G82" s="292" t="s">
        <v>358</v>
      </c>
      <c r="H82" s="306" t="s">
        <v>288</v>
      </c>
      <c r="I82" s="292" t="s">
        <v>737</v>
      </c>
      <c r="J82" s="292" t="s">
        <v>790</v>
      </c>
      <c r="K82" s="306" t="s">
        <v>796</v>
      </c>
      <c r="L82" s="292" t="s">
        <v>786</v>
      </c>
      <c r="M82" s="307" t="s">
        <v>804</v>
      </c>
      <c r="N82" s="307" t="s">
        <v>841</v>
      </c>
      <c r="O82" s="308">
        <v>28.5</v>
      </c>
      <c r="P82" s="292"/>
    </row>
    <row r="83" spans="1:16" x14ac:dyDescent="0.25">
      <c r="A83" s="292" t="str">
        <f>_xlfn.CONCAT(donnée_haschich[[#This Row],[Nom produit]]," - ", donnée_haschich[[#This Row],[Variété]], IF(donnée_haschich[[#This Row],[Dominance ]]="-",,_xlfn.CONCAT(" (",donnée_haschich[[#This Row],[Dominance ]],")")))</f>
        <v>OS.HASH Mélange Indica 4g - Mélange (Indica)</v>
      </c>
      <c r="B83" s="293">
        <v>697238119217</v>
      </c>
      <c r="C83" s="292" t="s">
        <v>272</v>
      </c>
      <c r="D83" s="292" t="s">
        <v>726</v>
      </c>
      <c r="E83" s="292" t="s">
        <v>135</v>
      </c>
      <c r="F83" s="305" t="s">
        <v>914</v>
      </c>
      <c r="G83" s="292" t="s">
        <v>358</v>
      </c>
      <c r="H83" s="306" t="s">
        <v>288</v>
      </c>
      <c r="I83" s="292" t="s">
        <v>737</v>
      </c>
      <c r="J83" s="292" t="s">
        <v>790</v>
      </c>
      <c r="K83" s="306" t="s">
        <v>915</v>
      </c>
      <c r="L83" s="292" t="s">
        <v>786</v>
      </c>
      <c r="M83" s="292" t="s">
        <v>804</v>
      </c>
      <c r="N83" s="292" t="s">
        <v>841</v>
      </c>
      <c r="O83" s="308">
        <v>49.9</v>
      </c>
      <c r="P83" s="292"/>
    </row>
    <row r="84" spans="1:16" x14ac:dyDescent="0.25">
      <c r="A84" s="292" t="str">
        <f>_xlfn.CONCAT(donnée_haschich[[#This Row],[Nom produit]]," - ", donnée_haschich[[#This Row],[Variété]], IF(donnée_haschich[[#This Row],[Dominance ]]="-",,_xlfn.CONCAT(" (",donnée_haschich[[#This Row],[Dominance ]],")")))</f>
        <v>OS.HASH Mélange Sativa - Mélange (Sativa)</v>
      </c>
      <c r="B84" s="293">
        <v>697238119224</v>
      </c>
      <c r="C84" s="292" t="s">
        <v>272</v>
      </c>
      <c r="D84" s="292" t="s">
        <v>726</v>
      </c>
      <c r="E84" s="292" t="s">
        <v>137</v>
      </c>
      <c r="F84" s="305" t="s">
        <v>916</v>
      </c>
      <c r="G84" s="292" t="s">
        <v>358</v>
      </c>
      <c r="H84" s="306" t="s">
        <v>288</v>
      </c>
      <c r="I84" s="292" t="s">
        <v>617</v>
      </c>
      <c r="J84" s="292" t="s">
        <v>87</v>
      </c>
      <c r="K84" s="306" t="s">
        <v>915</v>
      </c>
      <c r="L84" s="292" t="s">
        <v>786</v>
      </c>
      <c r="M84" s="307" t="s">
        <v>797</v>
      </c>
      <c r="N84" s="307" t="s">
        <v>841</v>
      </c>
      <c r="O84" s="308">
        <v>49.9</v>
      </c>
      <c r="P84" s="292"/>
    </row>
    <row r="85" spans="1:16" x14ac:dyDescent="0.25">
      <c r="A85" s="292" t="str">
        <f>_xlfn.CONCAT(donnée_haschich[[#This Row],[Nom produit]]," - ", donnée_haschich[[#This Row],[Variété]], IF(donnée_haschich[[#This Row],[Dominance ]]="-",,_xlfn.CONCAT(" (",donnée_haschich[[#This Row],[Dominance ]],")")))</f>
        <v>Pomme Verte - Apple Toffee (Indica)</v>
      </c>
      <c r="B85" s="293">
        <v>688318000440</v>
      </c>
      <c r="C85" s="292" t="s">
        <v>87</v>
      </c>
      <c r="D85" s="292" t="s">
        <v>726</v>
      </c>
      <c r="E85" s="292" t="s">
        <v>135</v>
      </c>
      <c r="F85" s="305" t="s">
        <v>917</v>
      </c>
      <c r="G85" s="292" t="s">
        <v>918</v>
      </c>
      <c r="H85" s="306" t="s">
        <v>452</v>
      </c>
      <c r="I85" s="292" t="s">
        <v>738</v>
      </c>
      <c r="J85" s="292" t="s">
        <v>732</v>
      </c>
      <c r="K85" s="306" t="s">
        <v>796</v>
      </c>
      <c r="L85" s="292" t="s">
        <v>786</v>
      </c>
      <c r="M85" s="307" t="s">
        <v>87</v>
      </c>
      <c r="N85" s="307" t="s">
        <v>87</v>
      </c>
      <c r="O85" s="308">
        <v>54.9</v>
      </c>
      <c r="P85" s="292"/>
    </row>
    <row r="86" spans="1:16" x14ac:dyDescent="0.25">
      <c r="A86" s="292" t="str">
        <f>_xlfn.CONCAT(donnée_haschich[[#This Row],[Nom produit]]," - ", donnée_haschich[[#This Row],[Variété]], IF(donnée_haschich[[#This Row],[Dominance ]]="-",,_xlfn.CONCAT(" (",donnée_haschich[[#This Row],[Dominance ]],")")))</f>
        <v>P'tit Haschich - Mélange</v>
      </c>
      <c r="B86" s="293">
        <v>694144011840</v>
      </c>
      <c r="C86" s="292" t="s">
        <v>87</v>
      </c>
      <c r="D86" s="292" t="s">
        <v>726</v>
      </c>
      <c r="E86" s="292" t="s">
        <v>87</v>
      </c>
      <c r="F86" s="305" t="s">
        <v>919</v>
      </c>
      <c r="G86" s="292" t="s">
        <v>358</v>
      </c>
      <c r="H86" s="306" t="s">
        <v>920</v>
      </c>
      <c r="I86" s="292" t="s">
        <v>800</v>
      </c>
      <c r="J86" s="292" t="s">
        <v>738</v>
      </c>
      <c r="K86" s="306" t="s">
        <v>796</v>
      </c>
      <c r="L86" s="292" t="s">
        <v>786</v>
      </c>
      <c r="M86" s="307" t="s">
        <v>804</v>
      </c>
      <c r="N86" s="307" t="s">
        <v>806</v>
      </c>
      <c r="O86" s="308">
        <v>32.6</v>
      </c>
      <c r="P86" s="292"/>
    </row>
    <row r="87" spans="1:16" x14ac:dyDescent="0.25">
      <c r="A87" s="292" t="str">
        <f>_xlfn.CONCAT(donnée_haschich[[#This Row],[Nom produit]]," - ", donnée_haschich[[#This Row],[Variété]], IF(donnée_haschich[[#This Row],[Dominance ]]="-",,_xlfn.CONCAT(" (",donnée_haschich[[#This Row],[Dominance ]],")")))</f>
        <v>QC Hash - Mélange</v>
      </c>
      <c r="B87" s="293">
        <v>628176622354</v>
      </c>
      <c r="C87" s="292" t="s">
        <v>272</v>
      </c>
      <c r="D87" s="292" t="s">
        <v>726</v>
      </c>
      <c r="E87" s="292" t="s">
        <v>87</v>
      </c>
      <c r="F87" s="305" t="s">
        <v>921</v>
      </c>
      <c r="G87" s="292" t="s">
        <v>358</v>
      </c>
      <c r="H87" s="306" t="s">
        <v>922</v>
      </c>
      <c r="I87" s="292" t="s">
        <v>737</v>
      </c>
      <c r="J87" s="292" t="s">
        <v>616</v>
      </c>
      <c r="K87" s="306" t="s">
        <v>245</v>
      </c>
      <c r="L87" s="292" t="s">
        <v>786</v>
      </c>
      <c r="M87" s="307" t="s">
        <v>87</v>
      </c>
      <c r="N87" s="307" t="s">
        <v>87</v>
      </c>
      <c r="O87" s="308">
        <v>48.4</v>
      </c>
      <c r="P87" s="292"/>
    </row>
    <row r="88" spans="1:16" x14ac:dyDescent="0.25">
      <c r="A88" s="292" t="str">
        <f>_xlfn.CONCAT(donnée_haschich[[#This Row],[Nom produit]]," - ", donnée_haschich[[#This Row],[Variété]], IF(donnée_haschich[[#This Row],[Dominance ]]="-",,_xlfn.CONCAT(" (",donnée_haschich[[#This Row],[Dominance ]],")")))</f>
        <v>Sage N' Sour Haschich - Sage n Sour (Sativa)</v>
      </c>
      <c r="B88" s="335">
        <v>878340000055</v>
      </c>
      <c r="C88" s="292" t="s">
        <v>272</v>
      </c>
      <c r="D88" s="292" t="s">
        <v>726</v>
      </c>
      <c r="E88" s="292" t="s">
        <v>137</v>
      </c>
      <c r="F88" s="325" t="s">
        <v>923</v>
      </c>
      <c r="G88" s="292" t="s">
        <v>924</v>
      </c>
      <c r="H88" s="325" t="s">
        <v>925</v>
      </c>
      <c r="I88" s="292"/>
      <c r="J88" s="292"/>
      <c r="K88" s="325" t="s">
        <v>796</v>
      </c>
      <c r="L88" s="292" t="s">
        <v>786</v>
      </c>
      <c r="M88" s="307" t="s">
        <v>797</v>
      </c>
      <c r="N88" s="307" t="s">
        <v>798</v>
      </c>
      <c r="O88" s="327">
        <v>31.8</v>
      </c>
      <c r="P88" s="292"/>
    </row>
    <row r="89" spans="1:16" x14ac:dyDescent="0.25">
      <c r="A89" s="292" t="str">
        <f>_xlfn.CONCAT(donnée_haschich[[#This Row],[Nom produit]]," - ", donnée_haschich[[#This Row],[Variété]], IF(donnée_haschich[[#This Row],[Dominance ]]="-",,_xlfn.CONCAT(" (",donnée_haschich[[#This Row],[Dominance ]],")")))</f>
        <v>Slapz Ice Water Hash - Slapz (Indica)</v>
      </c>
      <c r="B89" s="293"/>
      <c r="C89" s="292" t="s">
        <v>272</v>
      </c>
      <c r="D89" s="292" t="s">
        <v>726</v>
      </c>
      <c r="E89" s="292" t="s">
        <v>135</v>
      </c>
      <c r="F89" s="305" t="s">
        <v>926</v>
      </c>
      <c r="G89" s="292" t="s">
        <v>152</v>
      </c>
      <c r="H89" s="306" t="s">
        <v>237</v>
      </c>
      <c r="I89" s="292" t="s">
        <v>800</v>
      </c>
      <c r="J89" s="292" t="s">
        <v>732</v>
      </c>
      <c r="K89" s="306" t="s">
        <v>571</v>
      </c>
      <c r="L89" s="292" t="s">
        <v>786</v>
      </c>
      <c r="M89" s="307" t="s">
        <v>805</v>
      </c>
      <c r="N89" s="307" t="s">
        <v>798</v>
      </c>
      <c r="O89" s="417">
        <v>30.7</v>
      </c>
      <c r="P89" s="292"/>
    </row>
    <row r="90" spans="1:16" x14ac:dyDescent="0.25">
      <c r="A90" s="292" t="str">
        <f>_xlfn.CONCAT(donnée_haschich[[#This Row],[Nom produit]]," - ", donnée_haschich[[#This Row],[Variété]], IF(donnée_haschich[[#This Row],[Dominance ]]="-",,_xlfn.CONCAT(" (",donnée_haschich[[#This Row],[Dominance ]],")")))</f>
        <v>Style 1980 - En rotation</v>
      </c>
      <c r="B90" s="293"/>
      <c r="C90" s="292" t="s">
        <v>272</v>
      </c>
      <c r="D90" s="292"/>
      <c r="E90" s="292" t="s">
        <v>87</v>
      </c>
      <c r="F90" s="305" t="s">
        <v>927</v>
      </c>
      <c r="G90" s="292" t="s">
        <v>264</v>
      </c>
      <c r="H90" s="306" t="s">
        <v>447</v>
      </c>
      <c r="I90" s="292" t="s">
        <v>87</v>
      </c>
      <c r="J90" s="292" t="s">
        <v>87</v>
      </c>
      <c r="K90" s="306" t="s">
        <v>796</v>
      </c>
      <c r="L90" s="292"/>
      <c r="M90" s="307" t="s">
        <v>797</v>
      </c>
      <c r="N90" s="307" t="s">
        <v>798</v>
      </c>
      <c r="O90" s="308">
        <v>26.9</v>
      </c>
      <c r="P90" s="292"/>
    </row>
    <row r="91" spans="1:16" x14ac:dyDescent="0.25">
      <c r="A91" s="292" t="str">
        <f>_xlfn.CONCAT(donnée_haschich[[#This Row],[Nom produit]]," - ", donnée_haschich[[#This Row],[Variété]], IF(donnée_haschich[[#This Row],[Dominance ]]="-",,_xlfn.CONCAT(" (",donnée_haschich[[#This Row],[Dominance ]],")")))</f>
        <v>Style Afghan - Rotation de Kush (Indica)</v>
      </c>
      <c r="B91" s="293"/>
      <c r="C91" s="292" t="s">
        <v>272</v>
      </c>
      <c r="D91" s="292"/>
      <c r="E91" s="292" t="s">
        <v>135</v>
      </c>
      <c r="F91" s="305" t="s">
        <v>928</v>
      </c>
      <c r="G91" s="292" t="s">
        <v>929</v>
      </c>
      <c r="H91" s="306" t="s">
        <v>447</v>
      </c>
      <c r="I91" s="292" t="s">
        <v>87</v>
      </c>
      <c r="J91" s="292" t="s">
        <v>87</v>
      </c>
      <c r="K91" s="306" t="s">
        <v>791</v>
      </c>
      <c r="L91" s="292" t="s">
        <v>786</v>
      </c>
      <c r="M91" s="307" t="s">
        <v>805</v>
      </c>
      <c r="N91" s="307" t="s">
        <v>798</v>
      </c>
      <c r="O91" s="308">
        <v>44.9</v>
      </c>
      <c r="P91" s="292"/>
    </row>
    <row r="92" spans="1:16" x14ac:dyDescent="0.25">
      <c r="A92" s="292" t="str">
        <f>_xlfn.CONCAT(donnée_haschich[[#This Row],[Nom produit]]," - ", donnée_haschich[[#This Row],[Variété]], IF(donnée_haschich[[#This Row],[Dominance ]]="-",,_xlfn.CONCAT(" (",donnée_haschich[[#This Row],[Dominance ]],")")))</f>
        <v>Tire-Toi une Bûche - Chemdawg OG (Sativa)</v>
      </c>
      <c r="B92" s="293"/>
      <c r="C92" s="292" t="s">
        <v>272</v>
      </c>
      <c r="D92" s="292" t="s">
        <v>726</v>
      </c>
      <c r="E92" s="292" t="s">
        <v>137</v>
      </c>
      <c r="F92" s="305" t="s">
        <v>930</v>
      </c>
      <c r="G92" s="292" t="s">
        <v>931</v>
      </c>
      <c r="H92" s="306" t="s">
        <v>417</v>
      </c>
      <c r="I92" s="292" t="s">
        <v>800</v>
      </c>
      <c r="J92" s="292" t="s">
        <v>790</v>
      </c>
      <c r="K92" s="306" t="s">
        <v>791</v>
      </c>
      <c r="L92" s="292" t="s">
        <v>786</v>
      </c>
      <c r="M92" s="307" t="s">
        <v>797</v>
      </c>
      <c r="N92" s="307" t="s">
        <v>798</v>
      </c>
      <c r="O92" s="308">
        <v>49.3</v>
      </c>
      <c r="P92" s="292"/>
    </row>
    <row r="93" spans="1:16" ht="15.75" thickBot="1" x14ac:dyDescent="0.3"/>
    <row r="94" spans="1:16" ht="15" customHeight="1" x14ac:dyDescent="0.25">
      <c r="A94" s="645" t="s">
        <v>932</v>
      </c>
      <c r="B94" s="646"/>
      <c r="C94" s="646"/>
      <c r="D94" s="646"/>
      <c r="E94" s="646"/>
      <c r="F94" s="646"/>
      <c r="G94" s="646"/>
      <c r="H94" s="646"/>
      <c r="I94" s="646"/>
      <c r="J94" s="646"/>
      <c r="K94" s="646"/>
      <c r="L94" s="647"/>
      <c r="M94" s="157"/>
      <c r="N94" s="157"/>
    </row>
    <row r="95" spans="1:16" ht="15.75" customHeight="1" thickBot="1" x14ac:dyDescent="0.3">
      <c r="A95" s="648"/>
      <c r="B95" s="649"/>
      <c r="C95" s="649"/>
      <c r="D95" s="649"/>
      <c r="E95" s="649"/>
      <c r="F95" s="649"/>
      <c r="G95" s="649"/>
      <c r="H95" s="649"/>
      <c r="I95" s="649"/>
      <c r="J95" s="649"/>
      <c r="K95" s="649"/>
      <c r="L95" s="650"/>
      <c r="M95" s="157"/>
      <c r="N95" s="157"/>
    </row>
    <row r="97" spans="1:14" x14ac:dyDescent="0.25">
      <c r="A97" s="156" t="s">
        <v>3</v>
      </c>
      <c r="B97" s="156" t="s">
        <v>252</v>
      </c>
      <c r="C97" s="155" t="s">
        <v>253</v>
      </c>
      <c r="D97" s="154" t="s">
        <v>933</v>
      </c>
      <c r="E97" s="154" t="s">
        <v>255</v>
      </c>
      <c r="F97" s="154" t="s">
        <v>4</v>
      </c>
      <c r="G97" s="154" t="s">
        <v>256</v>
      </c>
      <c r="H97" s="154" t="s">
        <v>609</v>
      </c>
      <c r="I97" s="154" t="s">
        <v>610</v>
      </c>
      <c r="J97" s="154" t="s">
        <v>5</v>
      </c>
      <c r="K97" s="154" t="s">
        <v>611</v>
      </c>
      <c r="L97" s="154" t="s">
        <v>6</v>
      </c>
      <c r="M97" s="156" t="s">
        <v>257</v>
      </c>
    </row>
    <row r="98" spans="1:14" x14ac:dyDescent="0.25">
      <c r="A98" s="175" t="s">
        <v>934</v>
      </c>
      <c r="B98" s="170" t="s">
        <v>87</v>
      </c>
      <c r="C98" s="174" t="s">
        <v>726</v>
      </c>
      <c r="D98" s="160">
        <v>675136002831</v>
      </c>
      <c r="E98" s="175" t="s">
        <v>358</v>
      </c>
      <c r="F98" s="175" t="s">
        <v>812</v>
      </c>
      <c r="G98" s="175" t="s">
        <v>284</v>
      </c>
      <c r="H98" s="175" t="s">
        <v>790</v>
      </c>
      <c r="I98" s="175" t="s">
        <v>738</v>
      </c>
      <c r="J98" s="175" t="s">
        <v>571</v>
      </c>
      <c r="K98" s="175" t="s">
        <v>935</v>
      </c>
      <c r="L98" s="177">
        <v>17.7</v>
      </c>
      <c r="M98" s="171"/>
    </row>
    <row r="99" spans="1:14" x14ac:dyDescent="0.25">
      <c r="A99" s="173" t="s">
        <v>936</v>
      </c>
      <c r="B99" s="171" t="s">
        <v>259</v>
      </c>
      <c r="C99" s="172" t="s">
        <v>726</v>
      </c>
      <c r="D99" s="178">
        <v>870814007256</v>
      </c>
      <c r="E99" s="173" t="s">
        <v>358</v>
      </c>
      <c r="F99" s="173" t="s">
        <v>570</v>
      </c>
      <c r="G99" s="173" t="s">
        <v>284</v>
      </c>
      <c r="H99" s="173" t="s">
        <v>616</v>
      </c>
      <c r="I99" s="173" t="s">
        <v>617</v>
      </c>
      <c r="J99" s="173" t="s">
        <v>796</v>
      </c>
      <c r="K99" s="173" t="s">
        <v>935</v>
      </c>
      <c r="L99" s="176">
        <v>28</v>
      </c>
      <c r="M99" s="171"/>
    </row>
    <row r="100" spans="1:14" x14ac:dyDescent="0.25">
      <c r="A100" s="173" t="s">
        <v>937</v>
      </c>
      <c r="B100" s="171" t="s">
        <v>259</v>
      </c>
      <c r="C100" s="172" t="s">
        <v>726</v>
      </c>
      <c r="D100" s="159">
        <v>870814007263</v>
      </c>
      <c r="E100" s="173" t="s">
        <v>358</v>
      </c>
      <c r="F100" s="173" t="s">
        <v>570</v>
      </c>
      <c r="G100" s="173" t="s">
        <v>284</v>
      </c>
      <c r="H100" s="173" t="s">
        <v>617</v>
      </c>
      <c r="I100" s="173" t="s">
        <v>757</v>
      </c>
      <c r="J100" s="173" t="s">
        <v>796</v>
      </c>
      <c r="K100" s="173" t="s">
        <v>935</v>
      </c>
      <c r="L100" s="176">
        <v>26</v>
      </c>
      <c r="M100" s="171"/>
    </row>
    <row r="101" spans="1:14" x14ac:dyDescent="0.25">
      <c r="A101" s="175" t="s">
        <v>938</v>
      </c>
      <c r="B101" s="170" t="s">
        <v>259</v>
      </c>
      <c r="C101" s="174" t="s">
        <v>726</v>
      </c>
      <c r="D101" s="160">
        <v>697238112386</v>
      </c>
      <c r="E101" s="175" t="s">
        <v>358</v>
      </c>
      <c r="F101" s="175" t="s">
        <v>288</v>
      </c>
      <c r="G101" s="175" t="s">
        <v>284</v>
      </c>
      <c r="H101" s="175" t="s">
        <v>790</v>
      </c>
      <c r="I101" s="175" t="s">
        <v>616</v>
      </c>
      <c r="J101" s="175" t="s">
        <v>571</v>
      </c>
      <c r="K101" s="175" t="s">
        <v>935</v>
      </c>
      <c r="L101" s="177">
        <v>14.9</v>
      </c>
      <c r="M101" s="171"/>
    </row>
    <row r="102" spans="1:14" x14ac:dyDescent="0.25">
      <c r="A102" s="175" t="s">
        <v>939</v>
      </c>
      <c r="B102" s="170" t="s">
        <v>87</v>
      </c>
      <c r="C102" s="174" t="s">
        <v>726</v>
      </c>
      <c r="D102" s="160">
        <v>694144008277</v>
      </c>
      <c r="E102" s="175" t="s">
        <v>939</v>
      </c>
      <c r="F102" s="175" t="s">
        <v>220</v>
      </c>
      <c r="G102" s="175" t="s">
        <v>269</v>
      </c>
      <c r="H102" s="175" t="s">
        <v>800</v>
      </c>
      <c r="I102" s="175" t="s">
        <v>738</v>
      </c>
      <c r="J102" s="175" t="s">
        <v>571</v>
      </c>
      <c r="K102" s="175" t="s">
        <v>935</v>
      </c>
      <c r="L102" s="177">
        <v>14.9</v>
      </c>
      <c r="M102" s="171"/>
    </row>
    <row r="103" spans="1:14" x14ac:dyDescent="0.25">
      <c r="A103" s="170" t="s">
        <v>174</v>
      </c>
      <c r="B103" s="171" t="s">
        <v>87</v>
      </c>
      <c r="C103" s="172" t="s">
        <v>726</v>
      </c>
      <c r="D103" s="160"/>
      <c r="E103" s="173"/>
      <c r="F103" s="173" t="s">
        <v>940</v>
      </c>
      <c r="G103" s="173" t="s">
        <v>437</v>
      </c>
      <c r="H103" s="173" t="s">
        <v>790</v>
      </c>
      <c r="I103" s="173" t="s">
        <v>941</v>
      </c>
      <c r="J103" s="173" t="s">
        <v>571</v>
      </c>
      <c r="K103" s="173" t="s">
        <v>935</v>
      </c>
      <c r="L103" s="176">
        <v>14.2</v>
      </c>
      <c r="M103" s="171"/>
    </row>
    <row r="104" spans="1:14" x14ac:dyDescent="0.25">
      <c r="A104" s="170" t="s">
        <v>175</v>
      </c>
      <c r="B104" s="171" t="s">
        <v>259</v>
      </c>
      <c r="C104" s="172"/>
      <c r="D104" s="179"/>
      <c r="E104" s="173" t="s">
        <v>264</v>
      </c>
      <c r="F104" s="173" t="s">
        <v>557</v>
      </c>
      <c r="G104" s="173"/>
      <c r="H104" s="173"/>
      <c r="I104" s="173"/>
      <c r="J104" s="173" t="s">
        <v>791</v>
      </c>
      <c r="K104" s="173" t="s">
        <v>935</v>
      </c>
      <c r="L104" s="176">
        <v>35</v>
      </c>
      <c r="M104" s="171"/>
    </row>
    <row r="105" spans="1:14" ht="15.75" thickBot="1" x14ac:dyDescent="0.3"/>
    <row r="106" spans="1:14" x14ac:dyDescent="0.25">
      <c r="A106" s="645" t="s">
        <v>942</v>
      </c>
      <c r="B106" s="646"/>
      <c r="C106" s="646"/>
      <c r="D106" s="646"/>
      <c r="E106" s="646"/>
      <c r="F106" s="646"/>
      <c r="G106" s="646"/>
      <c r="H106" s="646"/>
      <c r="I106" s="646"/>
      <c r="J106" s="646"/>
      <c r="K106" s="646"/>
      <c r="L106" s="647"/>
    </row>
    <row r="107" spans="1:14" ht="15.75" thickBot="1" x14ac:dyDescent="0.3">
      <c r="A107" s="648"/>
      <c r="B107" s="649"/>
      <c r="C107" s="649"/>
      <c r="D107" s="649"/>
      <c r="E107" s="649"/>
      <c r="F107" s="649"/>
      <c r="G107" s="649"/>
      <c r="H107" s="649"/>
      <c r="I107" s="649"/>
      <c r="J107" s="649"/>
      <c r="K107" s="649"/>
      <c r="L107" s="650"/>
    </row>
    <row r="108" spans="1:14" x14ac:dyDescent="0.25">
      <c r="E108" s="159"/>
    </row>
    <row r="109" spans="1:14" x14ac:dyDescent="0.25">
      <c r="A109" t="s">
        <v>250</v>
      </c>
      <c r="B109" t="s">
        <v>251</v>
      </c>
      <c r="C109" t="s">
        <v>254</v>
      </c>
      <c r="D109" t="s">
        <v>255</v>
      </c>
      <c r="E109" t="s">
        <v>4</v>
      </c>
      <c r="F109" t="s">
        <v>256</v>
      </c>
      <c r="G109" t="s">
        <v>609</v>
      </c>
      <c r="H109" t="s">
        <v>943</v>
      </c>
      <c r="I109" t="s">
        <v>610</v>
      </c>
      <c r="J109" t="s">
        <v>944</v>
      </c>
      <c r="K109" t="s">
        <v>5</v>
      </c>
      <c r="L109" t="s">
        <v>6</v>
      </c>
      <c r="M109" s="83" t="s">
        <v>945</v>
      </c>
      <c r="N109" s="83" t="s">
        <v>257</v>
      </c>
    </row>
    <row r="110" spans="1:14" x14ac:dyDescent="0.25">
      <c r="A110" s="493" t="s">
        <v>232</v>
      </c>
      <c r="C110" t="s">
        <v>87</v>
      </c>
      <c r="D110" t="s">
        <v>358</v>
      </c>
      <c r="E110" s="493" t="s">
        <v>946</v>
      </c>
      <c r="F110" s="494" t="s">
        <v>362</v>
      </c>
      <c r="G110" t="str">
        <f>_xlfn.CONCAT(Tableau19[[#This Row],[Arômes4]], " / ",Tableau19[[#This Row],[Arômes2]], " / ",Tableau19[[#This Row],[Arômes3]] )</f>
        <v>Terreux / Épicé / Floral</v>
      </c>
      <c r="H110" s="494" t="s">
        <v>616</v>
      </c>
      <c r="I110" s="494" t="s">
        <v>790</v>
      </c>
      <c r="J110" s="494" t="s">
        <v>757</v>
      </c>
      <c r="K110" s="493" t="s">
        <v>947</v>
      </c>
      <c r="L110" s="494">
        <v>24.5</v>
      </c>
      <c r="M110" s="498" t="s">
        <v>233</v>
      </c>
      <c r="N110" s="83"/>
    </row>
    <row r="111" spans="1:14" x14ac:dyDescent="0.25">
      <c r="A111" s="493" t="s">
        <v>240</v>
      </c>
      <c r="C111" t="s">
        <v>87</v>
      </c>
      <c r="D111" t="s">
        <v>264</v>
      </c>
      <c r="E111" s="493" t="s">
        <v>946</v>
      </c>
      <c r="F111" s="494" t="s">
        <v>87</v>
      </c>
      <c r="G111" t="str">
        <f>_xlfn.CONCAT(Tableau19[[#This Row],[Arômes4]], " / ",Tableau19[[#This Row],[Arômes2]], " / ",Tableau19[[#This Row],[Arômes3]] )</f>
        <v>Terreux / Épicé / Floral</v>
      </c>
      <c r="H111" s="494" t="s">
        <v>616</v>
      </c>
      <c r="I111" s="494" t="s">
        <v>790</v>
      </c>
      <c r="J111" s="494" t="s">
        <v>757</v>
      </c>
      <c r="K111" s="493" t="s">
        <v>948</v>
      </c>
      <c r="L111" s="494">
        <v>16.100000000000001</v>
      </c>
      <c r="M111" s="498" t="s">
        <v>233</v>
      </c>
      <c r="N111" s="83"/>
    </row>
    <row r="112" spans="1:14" x14ac:dyDescent="0.25">
      <c r="A112" s="493" t="s">
        <v>223</v>
      </c>
      <c r="C112" t="s">
        <v>137</v>
      </c>
      <c r="D112" t="s">
        <v>949</v>
      </c>
      <c r="E112" s="493" t="s">
        <v>604</v>
      </c>
      <c r="F112" s="494" t="s">
        <v>261</v>
      </c>
      <c r="G112" t="str">
        <f>_xlfn.CONCAT(Tableau19[[#This Row],[Arômes4]], " / ",Tableau19[[#This Row],[Arômes2]], " / ",Tableau19[[#This Row],[Arômes3]] )</f>
        <v>Diesel / Sucré / Citronné</v>
      </c>
      <c r="H112" s="494" t="s">
        <v>800</v>
      </c>
      <c r="I112" s="494" t="s">
        <v>737</v>
      </c>
      <c r="J112" s="494" t="s">
        <v>738</v>
      </c>
      <c r="K112" s="493" t="s">
        <v>950</v>
      </c>
      <c r="L112" s="494">
        <v>18.100000000000001</v>
      </c>
      <c r="M112" s="498" t="s">
        <v>233</v>
      </c>
      <c r="N112" s="83"/>
    </row>
    <row r="113" spans="1:14" ht="15.75" x14ac:dyDescent="0.25">
      <c r="A113" s="398" t="s">
        <v>951</v>
      </c>
      <c r="B113" s="323" t="s">
        <v>952</v>
      </c>
      <c r="C113" t="s">
        <v>137</v>
      </c>
      <c r="D113" t="s">
        <v>953</v>
      </c>
      <c r="E113" s="323" t="s">
        <v>243</v>
      </c>
      <c r="F113" t="s">
        <v>261</v>
      </c>
      <c r="G113" t="str">
        <f>_xlfn.CONCAT(Tableau19[[#This Row],[Arômes4]], " / ",Tableau19[[#This Row],[Arômes2]], " / ",Tableau19[[#This Row],[Arômes3]] )</f>
        <v>Fruité / Sucré / Floral</v>
      </c>
      <c r="H113" t="s">
        <v>732</v>
      </c>
      <c r="I113" t="s">
        <v>737</v>
      </c>
      <c r="J113" t="s">
        <v>757</v>
      </c>
      <c r="K113" s="323" t="s">
        <v>947</v>
      </c>
      <c r="L113" s="348">
        <v>25</v>
      </c>
      <c r="N113" s="83"/>
    </row>
    <row r="114" spans="1:14" x14ac:dyDescent="0.25">
      <c r="A114" s="493" t="s">
        <v>242</v>
      </c>
      <c r="B114" s="323"/>
      <c r="C114" t="s">
        <v>87</v>
      </c>
      <c r="D114" t="s">
        <v>954</v>
      </c>
      <c r="E114" s="493" t="s">
        <v>313</v>
      </c>
      <c r="F114" s="494" t="s">
        <v>278</v>
      </c>
      <c r="G114" t="str">
        <f>_xlfn.CONCAT(Tableau19[[#This Row],[Arômes4]], " / ",Tableau19[[#This Row],[Arômes2]], " / ",Tableau19[[#This Row],[Arômes3]] )</f>
        <v>Fruité / Sucré / Floral</v>
      </c>
      <c r="H114" s="494" t="s">
        <v>732</v>
      </c>
      <c r="I114" s="494" t="s">
        <v>737</v>
      </c>
      <c r="J114" s="494" t="s">
        <v>757</v>
      </c>
      <c r="K114" s="493" t="s">
        <v>241</v>
      </c>
      <c r="L114" s="494">
        <v>32.5</v>
      </c>
      <c r="M114" s="498" t="s">
        <v>244</v>
      </c>
      <c r="N114" s="83"/>
    </row>
    <row r="115" spans="1:14" ht="15.75" x14ac:dyDescent="0.25">
      <c r="A115" s="396" t="s">
        <v>955</v>
      </c>
      <c r="B115" s="501"/>
      <c r="C115" s="275" t="s">
        <v>135</v>
      </c>
      <c r="D115" s="275" t="s">
        <v>956</v>
      </c>
      <c r="E115" s="340" t="s">
        <v>243</v>
      </c>
      <c r="F115" s="275"/>
      <c r="G115" t="str">
        <f>_xlfn.CONCAT(Tableau19[[#This Row],[Arômes4]], " / ",Tableau19[[#This Row],[Arômes2]], " / ",Tableau19[[#This Row],[Arômes3]] )</f>
        <v xml:space="preserve">Sucré / Fruité / </v>
      </c>
      <c r="H115" s="275" t="s">
        <v>737</v>
      </c>
      <c r="I115" s="275" t="s">
        <v>732</v>
      </c>
      <c r="J115" s="275"/>
      <c r="K115" s="340" t="s">
        <v>241</v>
      </c>
      <c r="L115" s="445">
        <v>32.5</v>
      </c>
      <c r="M115" s="83" t="s">
        <v>244</v>
      </c>
      <c r="N115" s="83"/>
    </row>
    <row r="116" spans="1:14" ht="15.75" x14ac:dyDescent="0.25">
      <c r="A116" s="396" t="s">
        <v>231</v>
      </c>
      <c r="B116" s="501">
        <v>820939003015</v>
      </c>
      <c r="C116" s="275"/>
      <c r="D116" s="275" t="s">
        <v>957</v>
      </c>
      <c r="E116" s="340" t="s">
        <v>243</v>
      </c>
      <c r="F116" s="275"/>
      <c r="G116" t="str">
        <f>_xlfn.CONCAT(Tableau19[[#This Row],[Arômes4]], " / ",Tableau19[[#This Row],[Arômes2]], " / ",Tableau19[[#This Row],[Arômes3]] )</f>
        <v xml:space="preserve"> /  / </v>
      </c>
      <c r="H116" s="275"/>
      <c r="I116" s="275"/>
      <c r="J116" s="275"/>
      <c r="K116" s="340" t="s">
        <v>947</v>
      </c>
      <c r="L116" s="344">
        <v>23.4</v>
      </c>
      <c r="M116" s="83" t="s">
        <v>244</v>
      </c>
      <c r="N116" s="83"/>
    </row>
    <row r="117" spans="1:14" x14ac:dyDescent="0.25">
      <c r="A117" s="493" t="s">
        <v>958</v>
      </c>
      <c r="B117" s="323"/>
      <c r="C117" t="s">
        <v>135</v>
      </c>
      <c r="D117" t="s">
        <v>959</v>
      </c>
      <c r="E117" s="493" t="s">
        <v>960</v>
      </c>
      <c r="F117" s="494" t="s">
        <v>87</v>
      </c>
      <c r="G117" t="str">
        <f>_xlfn.CONCAT(Tableau19[[#This Row],[Arômes4]], " / ",Tableau19[[#This Row],[Arômes2]], " / ",Tableau19[[#This Row],[Arômes3]] )</f>
        <v>Diesel / Terreux / Épicé</v>
      </c>
      <c r="H117" s="494" t="s">
        <v>800</v>
      </c>
      <c r="I117" s="494" t="s">
        <v>616</v>
      </c>
      <c r="J117" s="494" t="s">
        <v>790</v>
      </c>
      <c r="K117" s="493" t="s">
        <v>947</v>
      </c>
      <c r="L117" s="499">
        <v>22</v>
      </c>
      <c r="M117" s="498"/>
      <c r="N117" s="83"/>
    </row>
    <row r="118" spans="1:14" ht="15.75" x14ac:dyDescent="0.25">
      <c r="A118" s="397" t="s">
        <v>961</v>
      </c>
      <c r="B118" s="323" t="s">
        <v>962</v>
      </c>
      <c r="C118" t="s">
        <v>87</v>
      </c>
      <c r="D118" t="s">
        <v>304</v>
      </c>
      <c r="E118" t="s">
        <v>333</v>
      </c>
      <c r="F118" t="s">
        <v>87</v>
      </c>
      <c r="G118" t="str">
        <f>_xlfn.CONCAT(Tableau19[[#This Row],[Arômes4]], " / ",Tableau19[[#This Row],[Arômes2]], " / ",Tableau19[[#This Row],[Arômes3]] )</f>
        <v>- / - / -</v>
      </c>
      <c r="H118" t="s">
        <v>87</v>
      </c>
      <c r="I118" t="s">
        <v>87</v>
      </c>
      <c r="J118" t="s">
        <v>87</v>
      </c>
      <c r="K118" t="s">
        <v>963</v>
      </c>
      <c r="L118" s="185">
        <v>42</v>
      </c>
      <c r="N118" s="83"/>
    </row>
    <row r="119" spans="1:14" ht="15.75" x14ac:dyDescent="0.25">
      <c r="A119" s="418" t="s">
        <v>226</v>
      </c>
      <c r="B119" s="346">
        <v>688318002321</v>
      </c>
      <c r="C119" s="325" t="s">
        <v>87</v>
      </c>
      <c r="D119" s="325" t="s">
        <v>358</v>
      </c>
      <c r="E119" s="325">
        <v>1964</v>
      </c>
      <c r="F119" s="325" t="s">
        <v>87</v>
      </c>
      <c r="G119" t="str">
        <f>_xlfn.CONCAT(Tableau19[[#This Row],[Arômes4]], " / ",Tableau19[[#This Row],[Arômes2]], " / ",Tableau19[[#This Row],[Arômes3]] )</f>
        <v xml:space="preserve"> /  / </v>
      </c>
      <c r="H119" s="275"/>
      <c r="I119" s="275"/>
      <c r="J119" s="275"/>
      <c r="K119" s="325" t="s">
        <v>224</v>
      </c>
      <c r="L119" s="327">
        <v>16.899999999999999</v>
      </c>
      <c r="M119" s="83" t="s">
        <v>216</v>
      </c>
      <c r="N119" s="83"/>
    </row>
    <row r="120" spans="1:14" ht="15.75" x14ac:dyDescent="0.25">
      <c r="A120" s="418" t="s">
        <v>239</v>
      </c>
      <c r="B120" s="346"/>
      <c r="C120" s="325" t="s">
        <v>135</v>
      </c>
      <c r="D120" s="325" t="s">
        <v>964</v>
      </c>
      <c r="E120" s="325" t="s">
        <v>237</v>
      </c>
      <c r="F120" s="327" t="s">
        <v>284</v>
      </c>
      <c r="G120" t="str">
        <f>_xlfn.CONCAT(Tableau19[[#This Row],[Arômes4]], " / ",Tableau19[[#This Row],[Arômes2]], " / ",Tableau19[[#This Row],[Arômes3]] )</f>
        <v>Floral  / Fruité / Sucré</v>
      </c>
      <c r="H120" s="275" t="s">
        <v>965</v>
      </c>
      <c r="I120" s="275" t="s">
        <v>732</v>
      </c>
      <c r="J120" s="275" t="s">
        <v>737</v>
      </c>
      <c r="K120" s="325" t="s">
        <v>235</v>
      </c>
      <c r="L120" s="419">
        <v>23.4</v>
      </c>
      <c r="M120" s="83" t="s">
        <v>238</v>
      </c>
      <c r="N120" s="83"/>
    </row>
    <row r="121" spans="1:14" ht="15.75" x14ac:dyDescent="0.25">
      <c r="A121" s="418" t="s">
        <v>234</v>
      </c>
      <c r="B121" s="346"/>
      <c r="C121" s="325" t="s">
        <v>135</v>
      </c>
      <c r="D121" s="325" t="s">
        <v>503</v>
      </c>
      <c r="E121" s="325" t="s">
        <v>237</v>
      </c>
      <c r="F121" s="327" t="s">
        <v>284</v>
      </c>
      <c r="G121" t="str">
        <f>_xlfn.CONCAT(Tableau19[[#This Row],[Arômes4]], " / ",Tableau19[[#This Row],[Arômes2]], " / ",Tableau19[[#This Row],[Arômes3]] )</f>
        <v>Épicé / Terreux / Diesel</v>
      </c>
      <c r="H121" s="275" t="s">
        <v>790</v>
      </c>
      <c r="I121" s="275" t="s">
        <v>616</v>
      </c>
      <c r="J121" s="275" t="s">
        <v>800</v>
      </c>
      <c r="K121" s="325" t="s">
        <v>235</v>
      </c>
      <c r="L121" s="419">
        <v>23.4</v>
      </c>
      <c r="M121" s="83" t="s">
        <v>238</v>
      </c>
      <c r="N121" s="83"/>
    </row>
    <row r="122" spans="1:14" ht="15.75" x14ac:dyDescent="0.25">
      <c r="A122" s="418" t="s">
        <v>966</v>
      </c>
      <c r="B122" s="346"/>
      <c r="C122" s="325"/>
      <c r="D122" s="325"/>
      <c r="E122" s="325" t="s">
        <v>967</v>
      </c>
      <c r="F122" s="327" t="s">
        <v>87</v>
      </c>
      <c r="G122" t="str">
        <f>_xlfn.CONCAT(Tableau19[[#This Row],[Arômes4]], " / ",Tableau19[[#This Row],[Arômes2]], " / ",Tableau19[[#This Row],[Arômes3]] )</f>
        <v xml:space="preserve"> /  / </v>
      </c>
      <c r="H122" s="275"/>
      <c r="I122" s="275"/>
      <c r="J122" s="275"/>
      <c r="K122" s="325" t="s">
        <v>947</v>
      </c>
      <c r="L122" s="419">
        <v>24.6</v>
      </c>
      <c r="M122" s="420"/>
      <c r="N122" s="83"/>
    </row>
    <row r="123" spans="1:14" x14ac:dyDescent="0.25">
      <c r="A123" s="493" t="s">
        <v>227</v>
      </c>
      <c r="B123" s="323"/>
      <c r="C123" t="s">
        <v>135</v>
      </c>
      <c r="D123" t="s">
        <v>968</v>
      </c>
      <c r="E123" s="493" t="s">
        <v>795</v>
      </c>
      <c r="F123" s="494" t="s">
        <v>284</v>
      </c>
      <c r="G123" t="str">
        <f>_xlfn.CONCAT(Tableau19[[#This Row],[Arômes4]], " / ",Tableau19[[#This Row],[Arômes2]], " / ",Tableau19[[#This Row],[Arômes3]] )</f>
        <v>Sucré / - / -</v>
      </c>
      <c r="H123" s="494" t="s">
        <v>737</v>
      </c>
      <c r="I123" s="494" t="s">
        <v>87</v>
      </c>
      <c r="J123" s="494" t="s">
        <v>87</v>
      </c>
      <c r="K123" s="493" t="s">
        <v>969</v>
      </c>
      <c r="L123" s="494">
        <v>17.5</v>
      </c>
      <c r="M123" s="498" t="s">
        <v>233</v>
      </c>
      <c r="N123" s="83"/>
    </row>
    <row r="124" spans="1:14" x14ac:dyDescent="0.25">
      <c r="A124" s="493" t="s">
        <v>970</v>
      </c>
      <c r="B124" s="323"/>
      <c r="C124" t="s">
        <v>87</v>
      </c>
      <c r="D124" t="s">
        <v>264</v>
      </c>
      <c r="E124" s="493" t="s">
        <v>346</v>
      </c>
      <c r="F124" s="494" t="s">
        <v>284</v>
      </c>
      <c r="G124" t="str">
        <f>_xlfn.CONCAT(Tableau19[[#This Row],[Arômes4]], " / ",Tableau19[[#This Row],[Arômes2]], " / ",Tableau19[[#This Row],[Arômes3]] )</f>
        <v>Diesel / - / -</v>
      </c>
      <c r="H124" s="494" t="s">
        <v>800</v>
      </c>
      <c r="I124" s="494" t="s">
        <v>87</v>
      </c>
      <c r="J124" s="494" t="s">
        <v>87</v>
      </c>
      <c r="K124" s="493" t="s">
        <v>950</v>
      </c>
      <c r="L124" s="499">
        <v>22</v>
      </c>
      <c r="M124" s="498"/>
      <c r="N124" s="83"/>
    </row>
    <row r="125" spans="1:14" ht="15.75" x14ac:dyDescent="0.25">
      <c r="A125" s="418" t="s">
        <v>1029</v>
      </c>
      <c r="B125" s="346"/>
      <c r="C125" s="325" t="s">
        <v>87</v>
      </c>
      <c r="D125" s="325" t="s">
        <v>358</v>
      </c>
      <c r="E125" s="325" t="s">
        <v>1030</v>
      </c>
      <c r="F125" s="325"/>
      <c r="G125" t="str">
        <f>_xlfn.CONCAT(Tableau19[[#This Row],[Arômes4]], " / ",Tableau19[[#This Row],[Arômes2]], " / ",Tableau19[[#This Row],[Arômes3]] )</f>
        <v xml:space="preserve"> /  / </v>
      </c>
      <c r="H125" s="275"/>
      <c r="I125" s="275"/>
      <c r="J125" s="275"/>
      <c r="K125" s="325" t="s">
        <v>1031</v>
      </c>
      <c r="L125" s="419">
        <v>22.1</v>
      </c>
      <c r="M125" s="83" t="s">
        <v>786</v>
      </c>
      <c r="N125" s="83"/>
    </row>
    <row r="126" spans="1:14" ht="15.75" x14ac:dyDescent="0.25">
      <c r="A126" s="396" t="s">
        <v>971</v>
      </c>
      <c r="B126" s="501">
        <v>671148409828</v>
      </c>
      <c r="C126" s="275"/>
      <c r="D126" s="275"/>
      <c r="E126" s="340" t="s">
        <v>972</v>
      </c>
      <c r="F126" s="275"/>
      <c r="G126" t="str">
        <f>_xlfn.CONCAT(Tableau19[[#This Row],[Arômes4]], " / ",Tableau19[[#This Row],[Arômes2]], " / ",Tableau19[[#This Row],[Arômes3]] )</f>
        <v xml:space="preserve"> /  / </v>
      </c>
      <c r="H126" s="275"/>
      <c r="I126" s="275"/>
      <c r="J126" s="275"/>
      <c r="K126" s="340" t="s">
        <v>947</v>
      </c>
      <c r="L126" s="344">
        <v>26.9</v>
      </c>
      <c r="M126" s="83" t="s">
        <v>216</v>
      </c>
      <c r="N126" s="83"/>
    </row>
    <row r="127" spans="1:14" ht="15.75" x14ac:dyDescent="0.25">
      <c r="A127" s="418" t="s">
        <v>973</v>
      </c>
      <c r="B127" s="346">
        <v>817048000172</v>
      </c>
      <c r="C127" s="325" t="s">
        <v>135</v>
      </c>
      <c r="D127" s="325" t="s">
        <v>154</v>
      </c>
      <c r="E127" s="325" t="s">
        <v>860</v>
      </c>
      <c r="F127" s="327" t="s">
        <v>284</v>
      </c>
      <c r="G127" t="str">
        <f>_xlfn.CONCAT(Tableau19[[#This Row],[Arômes4]], " / ",Tableau19[[#This Row],[Arômes2]], " / ",Tableau19[[#This Row],[Arômes3]] )</f>
        <v xml:space="preserve"> /  / </v>
      </c>
      <c r="H127" s="275"/>
      <c r="I127" s="275"/>
      <c r="J127" s="275"/>
      <c r="K127" s="325" t="s">
        <v>947</v>
      </c>
      <c r="L127" s="327">
        <v>26.9</v>
      </c>
      <c r="M127" s="83" t="s">
        <v>216</v>
      </c>
      <c r="N127" s="83"/>
    </row>
    <row r="128" spans="1:14" ht="15.75" x14ac:dyDescent="0.25">
      <c r="A128" s="397" t="s">
        <v>230</v>
      </c>
      <c r="B128" s="323"/>
      <c r="C128" t="s">
        <v>87</v>
      </c>
      <c r="E128" t="s">
        <v>795</v>
      </c>
      <c r="G128" t="str">
        <f>_xlfn.CONCAT(Tableau19[[#This Row],[Arômes4]], " / ",Tableau19[[#This Row],[Arômes2]], " / ",Tableau19[[#This Row],[Arômes3]] )</f>
        <v xml:space="preserve"> /  / </v>
      </c>
      <c r="K128" t="s">
        <v>947</v>
      </c>
      <c r="L128">
        <v>21.5</v>
      </c>
      <c r="M128" s="83" t="s">
        <v>216</v>
      </c>
      <c r="N128" s="83"/>
    </row>
    <row r="129" spans="1:14" ht="15.75" x14ac:dyDescent="0.25">
      <c r="A129" s="397" t="s">
        <v>229</v>
      </c>
      <c r="B129" s="323" t="s">
        <v>974</v>
      </c>
      <c r="C129" t="s">
        <v>137</v>
      </c>
      <c r="D129" t="s">
        <v>140</v>
      </c>
      <c r="E129" t="s">
        <v>220</v>
      </c>
      <c r="F129" t="s">
        <v>284</v>
      </c>
      <c r="G129" t="str">
        <f>_xlfn.CONCAT(Tableau19[[#This Row],[Arômes4]], " / ",Tableau19[[#This Row],[Arômes2]], " / ",Tableau19[[#This Row],[Arômes3]] )</f>
        <v>Citronné / Terreux / -</v>
      </c>
      <c r="H129" t="s">
        <v>738</v>
      </c>
      <c r="I129" t="s">
        <v>616</v>
      </c>
      <c r="J129" t="s">
        <v>87</v>
      </c>
      <c r="K129" t="s">
        <v>947</v>
      </c>
      <c r="L129" s="185">
        <v>24.6</v>
      </c>
      <c r="M129" s="83" t="s">
        <v>216</v>
      </c>
      <c r="N129" s="83"/>
    </row>
    <row r="130" spans="1:14" ht="15.75" x14ac:dyDescent="0.25">
      <c r="A130" s="398" t="s">
        <v>975</v>
      </c>
      <c r="B130" s="323"/>
      <c r="C130" t="s">
        <v>135</v>
      </c>
      <c r="D130" t="s">
        <v>976</v>
      </c>
      <c r="E130" s="323" t="s">
        <v>795</v>
      </c>
      <c r="F130" t="s">
        <v>269</v>
      </c>
      <c r="G130" t="str">
        <f>_xlfn.CONCAT(Tableau19[[#This Row],[Arômes4]], " / ",Tableau19[[#This Row],[Arômes2]], " / ",Tableau19[[#This Row],[Arômes3]] )</f>
        <v>Boisé / Épicé / Mouffette</v>
      </c>
      <c r="H130" t="s">
        <v>617</v>
      </c>
      <c r="I130" t="s">
        <v>790</v>
      </c>
      <c r="J130" t="s">
        <v>941</v>
      </c>
      <c r="K130" s="323" t="s">
        <v>947</v>
      </c>
      <c r="L130" s="348">
        <v>21.5</v>
      </c>
      <c r="M130" s="83" t="s">
        <v>216</v>
      </c>
      <c r="N130" s="83"/>
    </row>
    <row r="131" spans="1:14" ht="15.75" x14ac:dyDescent="0.25">
      <c r="A131" s="398" t="s">
        <v>977</v>
      </c>
      <c r="B131" s="323" t="s">
        <v>978</v>
      </c>
      <c r="C131" t="s">
        <v>135</v>
      </c>
      <c r="D131" t="s">
        <v>372</v>
      </c>
      <c r="E131" s="323" t="s">
        <v>220</v>
      </c>
      <c r="F131" t="s">
        <v>284</v>
      </c>
      <c r="G131" t="str">
        <f>_xlfn.CONCAT(Tableau19[[#This Row],[Arômes4]], " / ",Tableau19[[#This Row],[Arômes2]], " / ",Tableau19[[#This Row],[Arômes3]] )</f>
        <v>Citronné / Sucré / Terreux</v>
      </c>
      <c r="H131" t="s">
        <v>738</v>
      </c>
      <c r="I131" t="s">
        <v>737</v>
      </c>
      <c r="J131" t="s">
        <v>616</v>
      </c>
      <c r="K131" s="323" t="s">
        <v>947</v>
      </c>
      <c r="L131" s="348">
        <v>24.6</v>
      </c>
      <c r="N131" s="83"/>
    </row>
    <row r="132" spans="1:14" ht="15.75" x14ac:dyDescent="0.25">
      <c r="A132" s="545" t="s">
        <v>979</v>
      </c>
      <c r="B132" s="346"/>
      <c r="C132" s="325" t="s">
        <v>135</v>
      </c>
      <c r="D132" s="325" t="s">
        <v>980</v>
      </c>
      <c r="E132" s="546" t="s">
        <v>247</v>
      </c>
      <c r="F132" s="327" t="s">
        <v>284</v>
      </c>
      <c r="G132" t="str">
        <f>_xlfn.CONCAT(Tableau19[[#This Row],[Arômes4]], " / ",Tableau19[[#This Row],[Arômes2]], " / ",Tableau19[[#This Row],[Arômes3]] )</f>
        <v>Fromage / Fruité / Floral</v>
      </c>
      <c r="H132" s="275" t="s">
        <v>981</v>
      </c>
      <c r="I132" s="275" t="s">
        <v>732</v>
      </c>
      <c r="J132" s="275" t="s">
        <v>757</v>
      </c>
      <c r="K132" s="546" t="s">
        <v>602</v>
      </c>
      <c r="L132" s="547">
        <v>65.8</v>
      </c>
      <c r="M132" s="83" t="s">
        <v>244</v>
      </c>
      <c r="N132" s="83"/>
    </row>
    <row r="133" spans="1:14" ht="15.75" x14ac:dyDescent="0.25">
      <c r="A133" s="397" t="s">
        <v>982</v>
      </c>
      <c r="C133" t="s">
        <v>135</v>
      </c>
      <c r="D133" t="s">
        <v>228</v>
      </c>
      <c r="E133" t="s">
        <v>795</v>
      </c>
      <c r="F133" t="s">
        <v>615</v>
      </c>
      <c r="G133" t="str">
        <f>_xlfn.CONCAT(Tableau19[[#This Row],[Arômes4]], " / ",Tableau19[[#This Row],[Arômes2]], " / ",Tableau19[[#This Row],[Arômes3]] )</f>
        <v>Épicé / Citronné / Floral</v>
      </c>
      <c r="H133" t="s">
        <v>790</v>
      </c>
      <c r="I133" t="s">
        <v>738</v>
      </c>
      <c r="J133" t="s">
        <v>757</v>
      </c>
      <c r="K133" t="s">
        <v>950</v>
      </c>
      <c r="L133" s="185">
        <v>21.5</v>
      </c>
      <c r="M133" s="83" t="s">
        <v>216</v>
      </c>
      <c r="N133" s="83"/>
    </row>
    <row r="134" spans="1:14" ht="15.75" x14ac:dyDescent="0.25">
      <c r="A134" s="397" t="s">
        <v>983</v>
      </c>
      <c r="C134" t="s">
        <v>137</v>
      </c>
      <c r="D134" t="s">
        <v>832</v>
      </c>
      <c r="E134" t="s">
        <v>795</v>
      </c>
      <c r="F134" t="s">
        <v>261</v>
      </c>
      <c r="G134" t="str">
        <f>_xlfn.CONCAT(Tableau19[[#This Row],[Arômes4]], " / ",Tableau19[[#This Row],[Arômes2]], " / ",Tableau19[[#This Row],[Arômes3]] )</f>
        <v>Fruité / Citronné / Diesel</v>
      </c>
      <c r="H134" t="s">
        <v>732</v>
      </c>
      <c r="I134" t="s">
        <v>738</v>
      </c>
      <c r="J134" t="s">
        <v>800</v>
      </c>
      <c r="K134" t="s">
        <v>950</v>
      </c>
      <c r="L134" s="185">
        <v>21.5</v>
      </c>
      <c r="M134" s="83" t="s">
        <v>216</v>
      </c>
      <c r="N134" s="83"/>
    </row>
    <row r="135" spans="1:14" ht="15.75" x14ac:dyDescent="0.25">
      <c r="A135" s="397" t="s">
        <v>984</v>
      </c>
      <c r="C135" t="s">
        <v>137</v>
      </c>
      <c r="D135" t="s">
        <v>316</v>
      </c>
      <c r="E135" t="s">
        <v>795</v>
      </c>
      <c r="F135" t="s">
        <v>284</v>
      </c>
      <c r="G135" t="str">
        <f>_xlfn.CONCAT(Tableau19[[#This Row],[Arômes4]], " / ",Tableau19[[#This Row],[Arômes2]], " / ",Tableau19[[#This Row],[Arômes3]] )</f>
        <v>Épicé / Citronné / Floral</v>
      </c>
      <c r="H135" t="s">
        <v>790</v>
      </c>
      <c r="I135" t="s">
        <v>738</v>
      </c>
      <c r="J135" t="s">
        <v>757</v>
      </c>
      <c r="K135" t="s">
        <v>950</v>
      </c>
      <c r="L135" s="185">
        <v>21.5</v>
      </c>
      <c r="M135" s="83" t="s">
        <v>216</v>
      </c>
      <c r="N135" s="83"/>
    </row>
    <row r="136" spans="1:14" x14ac:dyDescent="0.25">
      <c r="A136" s="493" t="s">
        <v>228</v>
      </c>
      <c r="C136" t="s">
        <v>87</v>
      </c>
      <c r="D136" t="s">
        <v>228</v>
      </c>
      <c r="E136" s="493" t="s">
        <v>795</v>
      </c>
      <c r="F136" s="494" t="s">
        <v>284</v>
      </c>
      <c r="G136" t="str">
        <f>_xlfn.CONCAT(Tableau19[[#This Row],[Arômes4]], " / ",Tableau19[[#This Row],[Arômes2]], " / ",Tableau19[[#This Row],[Arômes3]] )</f>
        <v>Sucré / Floral / Boisé</v>
      </c>
      <c r="H136" s="494" t="s">
        <v>737</v>
      </c>
      <c r="I136" s="494" t="s">
        <v>757</v>
      </c>
      <c r="J136" s="494" t="s">
        <v>617</v>
      </c>
      <c r="K136" s="493" t="s">
        <v>947</v>
      </c>
      <c r="L136" s="494">
        <v>21.5</v>
      </c>
      <c r="M136" s="498" t="s">
        <v>216</v>
      </c>
      <c r="N136" s="83"/>
    </row>
    <row r="137" spans="1:14" ht="15.75" x14ac:dyDescent="0.25">
      <c r="A137" s="418" t="s">
        <v>236</v>
      </c>
      <c r="B137" s="335"/>
      <c r="C137" s="325" t="s">
        <v>137</v>
      </c>
      <c r="D137" s="325" t="s">
        <v>461</v>
      </c>
      <c r="E137" s="325" t="s">
        <v>237</v>
      </c>
      <c r="F137" s="327" t="s">
        <v>278</v>
      </c>
      <c r="G137" t="str">
        <f>_xlfn.CONCAT(Tableau19[[#This Row],[Arômes4]], " / ",Tableau19[[#This Row],[Arômes2]], " / ",Tableau19[[#This Row],[Arômes3]] )</f>
        <v>Citronné / Fruité / Épicé</v>
      </c>
      <c r="H137" s="275" t="s">
        <v>738</v>
      </c>
      <c r="I137" s="275" t="s">
        <v>732</v>
      </c>
      <c r="J137" s="275" t="s">
        <v>790</v>
      </c>
      <c r="K137" s="325" t="s">
        <v>235</v>
      </c>
      <c r="L137" s="419">
        <v>23.4</v>
      </c>
      <c r="M137" s="83" t="s">
        <v>238</v>
      </c>
      <c r="N137" s="83"/>
    </row>
    <row r="138" spans="1:14" ht="15.75" x14ac:dyDescent="0.25">
      <c r="A138" s="397" t="s">
        <v>246</v>
      </c>
      <c r="C138" t="s">
        <v>137</v>
      </c>
      <c r="D138" t="s">
        <v>705</v>
      </c>
      <c r="E138" t="s">
        <v>247</v>
      </c>
      <c r="F138" t="s">
        <v>284</v>
      </c>
      <c r="G138" t="str">
        <f>_xlfn.CONCAT(Tableau19[[#This Row],[Arômes4]], " / ",Tableau19[[#This Row],[Arômes2]], " / ",Tableau19[[#This Row],[Arômes3]] )</f>
        <v>Sucré / - / -</v>
      </c>
      <c r="H138" t="s">
        <v>737</v>
      </c>
      <c r="I138" t="s">
        <v>87</v>
      </c>
      <c r="J138" t="s">
        <v>87</v>
      </c>
      <c r="K138" t="s">
        <v>245</v>
      </c>
      <c r="L138" s="185">
        <v>44.9</v>
      </c>
      <c r="M138" s="83" t="s">
        <v>216</v>
      </c>
      <c r="N138" s="83"/>
    </row>
    <row r="139" spans="1:14" ht="15.75" x14ac:dyDescent="0.25">
      <c r="A139" s="396" t="s">
        <v>219</v>
      </c>
      <c r="B139" s="342">
        <v>694144015947</v>
      </c>
      <c r="C139" s="275"/>
      <c r="D139" s="275"/>
      <c r="E139" s="340" t="s">
        <v>220</v>
      </c>
      <c r="F139" s="275"/>
      <c r="G139" t="str">
        <f>_xlfn.CONCAT(Tableau19[[#This Row],[Arômes4]], " / ",Tableau19[[#This Row],[Arômes2]], " / ",Tableau19[[#This Row],[Arômes3]] )</f>
        <v xml:space="preserve"> /  / </v>
      </c>
      <c r="H139" s="275"/>
      <c r="I139" s="275"/>
      <c r="J139" s="275"/>
      <c r="K139" s="340" t="s">
        <v>985</v>
      </c>
      <c r="L139" s="344">
        <v>8</v>
      </c>
      <c r="M139" s="83" t="s">
        <v>216</v>
      </c>
      <c r="N139" s="83"/>
    </row>
    <row r="140" spans="1:14" ht="15.75" x14ac:dyDescent="0.25">
      <c r="A140" s="418" t="s">
        <v>218</v>
      </c>
      <c r="B140" s="335"/>
      <c r="C140" s="325" t="s">
        <v>135</v>
      </c>
      <c r="D140" s="325" t="s">
        <v>515</v>
      </c>
      <c r="E140" s="325" t="s">
        <v>346</v>
      </c>
      <c r="F140" s="327" t="s">
        <v>296</v>
      </c>
      <c r="G140" t="str">
        <f>_xlfn.CONCAT(Tableau19[[#This Row],[Arômes4]], " / ",Tableau19[[#This Row],[Arômes2]], " / ",Tableau19[[#This Row],[Arômes3]] )</f>
        <v xml:space="preserve">Sucré / Diesel / </v>
      </c>
      <c r="H140" s="275" t="s">
        <v>737</v>
      </c>
      <c r="I140" s="275" t="s">
        <v>800</v>
      </c>
      <c r="J140" s="275"/>
      <c r="K140" s="325" t="s">
        <v>985</v>
      </c>
      <c r="L140" s="419">
        <v>11.5</v>
      </c>
      <c r="M140" s="420" t="s">
        <v>216</v>
      </c>
      <c r="N140" s="83"/>
    </row>
    <row r="141" spans="1:14" x14ac:dyDescent="0.25">
      <c r="A141" s="493" t="s">
        <v>221</v>
      </c>
      <c r="C141" t="s">
        <v>135</v>
      </c>
      <c r="D141" t="s">
        <v>358</v>
      </c>
      <c r="E141" s="493" t="s">
        <v>452</v>
      </c>
      <c r="F141" s="494" t="s">
        <v>284</v>
      </c>
      <c r="G141" t="str">
        <f>_xlfn.CONCAT(Tableau19[[#This Row],[Arômes4]], " / ",Tableau19[[#This Row],[Arômes2]], " / ",Tableau19[[#This Row],[Arômes3]] )</f>
        <v>Sucré / - / -</v>
      </c>
      <c r="H141" s="494" t="s">
        <v>737</v>
      </c>
      <c r="I141" s="494" t="s">
        <v>87</v>
      </c>
      <c r="J141" s="494" t="s">
        <v>87</v>
      </c>
      <c r="K141" s="493" t="s">
        <v>986</v>
      </c>
      <c r="L141" s="494">
        <v>14.8</v>
      </c>
      <c r="M141" s="498" t="s">
        <v>222</v>
      </c>
      <c r="N141" s="83"/>
    </row>
    <row r="142" spans="1:14" ht="15.75" x14ac:dyDescent="0.25">
      <c r="A142" s="396" t="s">
        <v>987</v>
      </c>
      <c r="B142" s="342">
        <v>824164002836</v>
      </c>
      <c r="C142" s="275"/>
      <c r="D142" s="275"/>
      <c r="E142" s="340" t="s">
        <v>344</v>
      </c>
      <c r="F142" s="275"/>
      <c r="G142" t="str">
        <f>_xlfn.CONCAT(Tableau19[[#This Row],[Arômes4]], " / ",Tableau19[[#This Row],[Arômes2]], " / ",Tableau19[[#This Row],[Arômes3]] )</f>
        <v xml:space="preserve"> /  / </v>
      </c>
      <c r="H142" s="275"/>
      <c r="I142" s="275"/>
      <c r="J142" s="275"/>
      <c r="K142" s="340" t="s">
        <v>950</v>
      </c>
      <c r="L142" s="344">
        <v>18.899999999999999</v>
      </c>
      <c r="M142" s="83" t="s">
        <v>988</v>
      </c>
      <c r="N142" s="83"/>
    </row>
    <row r="143" spans="1:14" x14ac:dyDescent="0.25">
      <c r="A143" s="493" t="s">
        <v>989</v>
      </c>
      <c r="C143" t="s">
        <v>87</v>
      </c>
      <c r="D143" t="s">
        <v>358</v>
      </c>
      <c r="E143" s="493" t="s">
        <v>990</v>
      </c>
      <c r="F143" s="494" t="s">
        <v>261</v>
      </c>
      <c r="G143" t="str">
        <f>_xlfn.CONCAT(Tableau19[[#This Row],[Arômes4]], " / ",Tableau19[[#This Row],[Arômes2]], " / ",Tableau19[[#This Row],[Arômes3]] )</f>
        <v>Fruité / Terreux / Épicé</v>
      </c>
      <c r="H143" s="494" t="s">
        <v>732</v>
      </c>
      <c r="I143" s="494" t="s">
        <v>616</v>
      </c>
      <c r="J143" s="494" t="s">
        <v>790</v>
      </c>
      <c r="K143" s="493" t="s">
        <v>241</v>
      </c>
      <c r="L143" s="494">
        <v>35.1</v>
      </c>
      <c r="M143" s="498" t="s">
        <v>216</v>
      </c>
      <c r="N143" s="83"/>
    </row>
    <row r="144" spans="1:14" x14ac:dyDescent="0.25">
      <c r="A144" s="493" t="s">
        <v>991</v>
      </c>
      <c r="C144" t="s">
        <v>137</v>
      </c>
      <c r="D144" t="s">
        <v>992</v>
      </c>
      <c r="E144" s="493" t="s">
        <v>993</v>
      </c>
      <c r="F144" s="494" t="s">
        <v>261</v>
      </c>
      <c r="G144" t="str">
        <f>_xlfn.CONCAT(Tableau19[[#This Row],[Arômes4]], " / ",Tableau19[[#This Row],[Arômes2]], " / ",Tableau19[[#This Row],[Arômes3]] )</f>
        <v>Fruité / Sucré / Terreux</v>
      </c>
      <c r="H144" s="494" t="s">
        <v>732</v>
      </c>
      <c r="I144" s="494" t="s">
        <v>737</v>
      </c>
      <c r="J144" s="494" t="s">
        <v>616</v>
      </c>
      <c r="K144" s="493" t="s">
        <v>947</v>
      </c>
      <c r="L144" s="494">
        <v>21.5</v>
      </c>
      <c r="M144" s="498"/>
      <c r="N144" s="83"/>
    </row>
    <row r="145" spans="1:14" x14ac:dyDescent="0.25">
      <c r="A145" s="493" t="s">
        <v>994</v>
      </c>
      <c r="C145" t="s">
        <v>135</v>
      </c>
      <c r="D145" t="s">
        <v>358</v>
      </c>
      <c r="E145" s="493" t="s">
        <v>995</v>
      </c>
      <c r="F145" s="494" t="s">
        <v>284</v>
      </c>
      <c r="G145" t="str">
        <f>_xlfn.CONCAT(Tableau19[[#This Row],[Arômes4]], " / ",Tableau19[[#This Row],[Arômes2]], " / ",Tableau19[[#This Row],[Arômes3]] )</f>
        <v>Épicé / Terreux / Citronné</v>
      </c>
      <c r="H145" s="494" t="s">
        <v>790</v>
      </c>
      <c r="I145" s="494" t="s">
        <v>616</v>
      </c>
      <c r="J145" s="494" t="s">
        <v>738</v>
      </c>
      <c r="K145" s="493" t="s">
        <v>947</v>
      </c>
      <c r="L145" s="494">
        <v>28.6</v>
      </c>
      <c r="M145" s="498" t="s">
        <v>216</v>
      </c>
      <c r="N145" s="83"/>
    </row>
    <row r="146" spans="1:14" ht="15.75" x14ac:dyDescent="0.25">
      <c r="A146" s="397" t="s">
        <v>996</v>
      </c>
      <c r="C146" t="s">
        <v>87</v>
      </c>
      <c r="D146" t="s">
        <v>358</v>
      </c>
      <c r="E146" t="s">
        <v>997</v>
      </c>
      <c r="G146" t="str">
        <f>_xlfn.CONCAT(Tableau19[[#This Row],[Arômes4]], " / ",Tableau19[[#This Row],[Arômes2]], " / ",Tableau19[[#This Row],[Arômes3]] )</f>
        <v xml:space="preserve"> /  / </v>
      </c>
      <c r="K146" t="s">
        <v>963</v>
      </c>
      <c r="L146">
        <v>33</v>
      </c>
      <c r="M146" s="83" t="s">
        <v>244</v>
      </c>
      <c r="N146" s="83"/>
    </row>
    <row r="147" spans="1:14" ht="15.75" thickBot="1" x14ac:dyDescent="0.3">
      <c r="A147" s="500" t="s">
        <v>225</v>
      </c>
      <c r="B147" s="326"/>
      <c r="C147" s="326" t="s">
        <v>137</v>
      </c>
      <c r="D147" s="326" t="s">
        <v>998</v>
      </c>
      <c r="E147" s="500" t="s">
        <v>220</v>
      </c>
      <c r="F147" s="502" t="s">
        <v>299</v>
      </c>
      <c r="G147" t="str">
        <f>_xlfn.CONCAT(Tableau19[[#This Row],[Arômes4]], " / ",Tableau19[[#This Row],[Arômes2]], " / ",Tableau19[[#This Row],[Arômes3]] )</f>
        <v>Sucré / Floral / Citronné</v>
      </c>
      <c r="H147" s="494" t="s">
        <v>737</v>
      </c>
      <c r="I147" s="494" t="s">
        <v>757</v>
      </c>
      <c r="J147" s="494" t="s">
        <v>738</v>
      </c>
      <c r="K147" s="500" t="s">
        <v>950</v>
      </c>
      <c r="L147" s="502">
        <v>14.9</v>
      </c>
      <c r="M147" s="498" t="s">
        <v>216</v>
      </c>
      <c r="N147" s="83"/>
    </row>
    <row r="148" spans="1:14" ht="16.5" thickBot="1" x14ac:dyDescent="0.3">
      <c r="A148" s="548" t="s">
        <v>1032</v>
      </c>
      <c r="B148" s="336"/>
      <c r="C148" s="337" t="s">
        <v>87</v>
      </c>
      <c r="D148" s="337" t="s">
        <v>358</v>
      </c>
      <c r="E148" s="337" t="s">
        <v>854</v>
      </c>
      <c r="F148" s="337"/>
      <c r="G148" t="str">
        <f>_xlfn.CONCAT(Tableau19[[#This Row],[Arômes4]], " / ",Tableau19[[#This Row],[Arômes2]], " / ",Tableau19[[#This Row],[Arômes3]] )</f>
        <v xml:space="preserve"> /  / </v>
      </c>
      <c r="H148" s="275"/>
      <c r="I148" s="275"/>
      <c r="J148" s="275"/>
      <c r="K148" s="337" t="s">
        <v>224</v>
      </c>
      <c r="L148" s="549">
        <v>23.9</v>
      </c>
      <c r="M148" s="83" t="s">
        <v>786</v>
      </c>
      <c r="N148" s="83"/>
    </row>
    <row r="149" spans="1:14" ht="15.75" x14ac:dyDescent="0.25">
      <c r="A149" s="418" t="s">
        <v>217</v>
      </c>
      <c r="B149" s="335"/>
      <c r="C149" s="325" t="s">
        <v>135</v>
      </c>
      <c r="D149" s="325" t="s">
        <v>154</v>
      </c>
      <c r="E149" s="325" t="s">
        <v>999</v>
      </c>
      <c r="F149" s="327" t="s">
        <v>362</v>
      </c>
      <c r="G149" t="str">
        <f>_xlfn.CONCAT(Tableau19[[#This Row],[Arômes4]], " / ",Tableau19[[#This Row],[Arômes2]], " / ",Tableau19[[#This Row],[Arômes3]] )</f>
        <v>Sucré / Épicé / Diesel</v>
      </c>
      <c r="H149" s="275" t="s">
        <v>737</v>
      </c>
      <c r="I149" s="275" t="s">
        <v>790</v>
      </c>
      <c r="J149" s="275" t="s">
        <v>800</v>
      </c>
      <c r="K149" s="325" t="s">
        <v>985</v>
      </c>
      <c r="L149" s="419">
        <v>11.4</v>
      </c>
      <c r="M149" s="83" t="s">
        <v>216</v>
      </c>
      <c r="N149" s="83"/>
    </row>
    <row r="150" spans="1:14" x14ac:dyDescent="0.25">
      <c r="A150" s="493" t="s">
        <v>215</v>
      </c>
      <c r="C150" t="s">
        <v>137</v>
      </c>
      <c r="D150" t="s">
        <v>1000</v>
      </c>
      <c r="E150" s="493" t="s">
        <v>1001</v>
      </c>
      <c r="F150" s="494" t="s">
        <v>269</v>
      </c>
      <c r="G150" t="str">
        <f>_xlfn.CONCAT(Tableau19[[#This Row],[Arômes4]], " / ",Tableau19[[#This Row],[Arômes2]], " / ",Tableau19[[#This Row],[Arômes3]] )</f>
        <v>Citronné / Sucré / Fruité</v>
      </c>
      <c r="H150" s="494" t="s">
        <v>738</v>
      </c>
      <c r="I150" s="494" t="s">
        <v>737</v>
      </c>
      <c r="J150" s="494" t="s">
        <v>732</v>
      </c>
      <c r="K150" s="493" t="s">
        <v>985</v>
      </c>
      <c r="L150" s="494">
        <v>10.7</v>
      </c>
      <c r="M150" s="498" t="s">
        <v>216</v>
      </c>
      <c r="N150" s="83"/>
    </row>
    <row r="151" spans="1:14" ht="31.5" x14ac:dyDescent="0.5">
      <c r="A151" s="651" t="s">
        <v>1002</v>
      </c>
      <c r="B151" s="651"/>
      <c r="C151" s="651"/>
      <c r="D151" s="651"/>
      <c r="E151" s="651"/>
      <c r="F151" s="651"/>
      <c r="G151" s="651"/>
      <c r="H151" s="651"/>
      <c r="I151" s="651"/>
      <c r="J151" s="651"/>
      <c r="K151" s="651"/>
      <c r="L151" s="651"/>
    </row>
    <row r="152" spans="1:14" x14ac:dyDescent="0.25">
      <c r="A152" s="393" t="s">
        <v>250</v>
      </c>
      <c r="B152" s="394" t="s">
        <v>251</v>
      </c>
      <c r="C152" s="394" t="s">
        <v>254</v>
      </c>
      <c r="D152" s="394" t="s">
        <v>255</v>
      </c>
      <c r="E152" s="394" t="s">
        <v>4</v>
      </c>
      <c r="F152" s="394" t="s">
        <v>256</v>
      </c>
      <c r="G152" s="394" t="s">
        <v>609</v>
      </c>
      <c r="H152" s="394" t="s">
        <v>943</v>
      </c>
      <c r="I152" s="394" t="s">
        <v>610</v>
      </c>
      <c r="J152" s="394" t="s">
        <v>944</v>
      </c>
      <c r="K152" s="394" t="s">
        <v>5</v>
      </c>
      <c r="L152" s="395" t="s">
        <v>6</v>
      </c>
      <c r="M152" s="415" t="s">
        <v>257</v>
      </c>
    </row>
    <row r="153" spans="1:14" x14ac:dyDescent="0.25">
      <c r="A153" s="414" t="s">
        <v>1003</v>
      </c>
      <c r="D153" t="s">
        <v>87</v>
      </c>
      <c r="E153" t="s">
        <v>87</v>
      </c>
      <c r="K153" t="s">
        <v>87</v>
      </c>
      <c r="L153" s="392" t="s">
        <v>87</v>
      </c>
    </row>
    <row r="154" spans="1:14" x14ac:dyDescent="0.25">
      <c r="A154" t="s">
        <v>1004</v>
      </c>
      <c r="D154" t="s">
        <v>264</v>
      </c>
      <c r="E154" t="s">
        <v>464</v>
      </c>
      <c r="K154" t="s">
        <v>571</v>
      </c>
      <c r="L154" s="392">
        <v>35</v>
      </c>
    </row>
    <row r="155" spans="1:14" x14ac:dyDescent="0.25">
      <c r="A155" t="s">
        <v>1042</v>
      </c>
      <c r="C155" t="s">
        <v>137</v>
      </c>
      <c r="D155" t="s">
        <v>264</v>
      </c>
      <c r="E155" t="s">
        <v>1005</v>
      </c>
      <c r="K155" t="s">
        <v>571</v>
      </c>
      <c r="L155" s="392">
        <v>27.3</v>
      </c>
    </row>
    <row r="156" spans="1:14" x14ac:dyDescent="0.25">
      <c r="A156" s="493" t="s">
        <v>177</v>
      </c>
      <c r="C156" t="s">
        <v>135</v>
      </c>
      <c r="D156" t="s">
        <v>1006</v>
      </c>
      <c r="E156" s="493" t="s">
        <v>1007</v>
      </c>
      <c r="K156" t="s">
        <v>571</v>
      </c>
      <c r="L156" s="392">
        <v>32</v>
      </c>
    </row>
    <row r="157" spans="1:14" x14ac:dyDescent="0.25">
      <c r="A157" t="s">
        <v>179</v>
      </c>
      <c r="C157" t="s">
        <v>135</v>
      </c>
      <c r="D157" t="s">
        <v>1008</v>
      </c>
      <c r="E157" t="s">
        <v>382</v>
      </c>
      <c r="F157" t="s">
        <v>284</v>
      </c>
      <c r="G157" t="str">
        <f>_xlfn.CONCAT(H157, " / ",I157, " / ",J157 )</f>
        <v>Sucré / Épicé / Floral</v>
      </c>
      <c r="H157" t="s">
        <v>737</v>
      </c>
      <c r="I157" t="s">
        <v>790</v>
      </c>
      <c r="J157" t="s">
        <v>757</v>
      </c>
      <c r="K157" t="s">
        <v>571</v>
      </c>
      <c r="L157" s="392">
        <v>29.8</v>
      </c>
    </row>
    <row r="158" spans="1:14" x14ac:dyDescent="0.25">
      <c r="A158" s="493" t="s">
        <v>1009</v>
      </c>
      <c r="C158" t="s">
        <v>137</v>
      </c>
      <c r="D158" t="s">
        <v>1010</v>
      </c>
      <c r="E158" s="493" t="s">
        <v>1005</v>
      </c>
      <c r="K158" t="s">
        <v>571</v>
      </c>
      <c r="L158" s="392">
        <v>27.3</v>
      </c>
    </row>
    <row r="159" spans="1:14" x14ac:dyDescent="0.25">
      <c r="A159" t="s">
        <v>178</v>
      </c>
      <c r="D159" t="s">
        <v>264</v>
      </c>
      <c r="E159" t="s">
        <v>237</v>
      </c>
      <c r="K159" t="s">
        <v>571</v>
      </c>
      <c r="L159" s="392">
        <v>25.2</v>
      </c>
    </row>
    <row r="160" spans="1:14" x14ac:dyDescent="0.25">
      <c r="A160" t="s">
        <v>180</v>
      </c>
      <c r="D160" t="s">
        <v>358</v>
      </c>
      <c r="E160" t="s">
        <v>557</v>
      </c>
      <c r="K160" t="s">
        <v>571</v>
      </c>
      <c r="L160" s="392">
        <v>28.9</v>
      </c>
    </row>
  </sheetData>
  <mergeCells count="4">
    <mergeCell ref="A2:N3"/>
    <mergeCell ref="A94:L95"/>
    <mergeCell ref="A106:L107"/>
    <mergeCell ref="A151:L151"/>
  </mergeCells>
  <phoneticPr fontId="31" type="noConversion"/>
  <conditionalFormatting sqref="E109">
    <cfRule type="duplicateValues" dxfId="56" priority="9"/>
  </conditionalFormatting>
  <conditionalFormatting sqref="E152">
    <cfRule type="duplicateValues" dxfId="55" priority="3"/>
  </conditionalFormatting>
  <conditionalFormatting sqref="B32:B45">
    <cfRule type="duplicateValues" dxfId="54" priority="21"/>
  </conditionalFormatting>
  <conditionalFormatting sqref="D99:D104">
    <cfRule type="duplicateValues" dxfId="53" priority="25"/>
  </conditionalFormatting>
  <conditionalFormatting sqref="B46:B92 B7:B31">
    <cfRule type="duplicateValues" dxfId="52" priority="45"/>
  </conditionalFormatting>
  <conditionalFormatting sqref="E149:E150 E110:E112">
    <cfRule type="duplicateValues" dxfId="51" priority="1"/>
  </conditionalFormatting>
  <conditionalFormatting sqref="B113:B139">
    <cfRule type="duplicateValues" dxfId="50" priority="2"/>
  </conditionalFormatting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8A6C1CF658943B869236AB6767C52" ma:contentTypeVersion="4" ma:contentTypeDescription="Crée un document." ma:contentTypeScope="" ma:versionID="b7cb22d50d7004b6dfe30b0f15fcd228">
  <xsd:schema xmlns:xsd="http://www.w3.org/2001/XMLSchema" xmlns:xs="http://www.w3.org/2001/XMLSchema" xmlns:p="http://schemas.microsoft.com/office/2006/metadata/properties" xmlns:ns2="44fffacf-2c43-47e7-86b6-c14a0a04e239" targetNamespace="http://schemas.microsoft.com/office/2006/metadata/properties" ma:root="true" ma:fieldsID="2b67ac835e37822d46c9ca2a2fd9a9c0" ns2:_="">
    <xsd:import namespace="44fffacf-2c43-47e7-86b6-c14a0a04e2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ffacf-2c43-47e7-86b6-c14a0a04e2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1DDEF9B-89CF-4660-BA4C-43B645F7DE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349516-46C8-4D32-B907-2D7CF5ABE2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ffacf-2c43-47e7-86b6-c14a0a04e2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4A7C28-5281-4879-9289-5415E8FD395A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44fffacf-2c43-47e7-86b6-c14a0a04e239"/>
    <ds:schemaRef ds:uri="http://purl.org/dc/terms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23</vt:i4>
      </vt:variant>
    </vt:vector>
  </HeadingPairs>
  <TitlesOfParts>
    <vt:vector size="31" baseType="lpstr">
      <vt:lpstr>Dérivés (ingestion) (O)</vt:lpstr>
      <vt:lpstr>Comment ça marche</vt:lpstr>
      <vt:lpstr>Feuil1</vt:lpstr>
      <vt:lpstr> Formats - Kiefs - Joints</vt:lpstr>
      <vt:lpstr>Hasch</vt:lpstr>
      <vt:lpstr>Base données formats</vt:lpstr>
      <vt:lpstr>Base Dérivés</vt:lpstr>
      <vt:lpstr>Base Hash Kiefs</vt:lpstr>
      <vt:lpstr>Base15g</vt:lpstr>
      <vt:lpstr>Base1g</vt:lpstr>
      <vt:lpstr>base28g</vt:lpstr>
      <vt:lpstr>Basehash</vt:lpstr>
      <vt:lpstr>Boissons</vt:lpstr>
      <vt:lpstr>fleurs1g</vt:lpstr>
      <vt:lpstr>formatrecto</vt:lpstr>
      <vt:lpstr>formatverso</vt:lpstr>
      <vt:lpstr>Hasch</vt:lpstr>
      <vt:lpstr>hasch_verso</vt:lpstr>
      <vt:lpstr>haschich</vt:lpstr>
      <vt:lpstr>hybride10_15g</vt:lpstr>
      <vt:lpstr>hybride28g</vt:lpstr>
      <vt:lpstr>impgrosformat</vt:lpstr>
      <vt:lpstr>imphasch</vt:lpstr>
      <vt:lpstr>indica10_15g</vt:lpstr>
      <vt:lpstr>indica28g</vt:lpstr>
      <vt:lpstr>jointsinfusés</vt:lpstr>
      <vt:lpstr>sativa10_15g</vt:lpstr>
      <vt:lpstr>sativa28g</vt:lpstr>
      <vt:lpstr>verso</vt:lpstr>
      <vt:lpstr>' Formats - Kiefs - Joints'!Zone_d_impression</vt:lpstr>
      <vt:lpstr>Hasch!Zone_d_impression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Derome, Frédéric</dc:creator>
  <cp:keywords/>
  <dc:description/>
  <cp:lastModifiedBy>Leclerc, Jérôme</cp:lastModifiedBy>
  <cp:revision/>
  <cp:lastPrinted>2024-08-28T20:48:02Z</cp:lastPrinted>
  <dcterms:created xsi:type="dcterms:W3CDTF">2022-03-28T19:57:09Z</dcterms:created>
  <dcterms:modified xsi:type="dcterms:W3CDTF">2024-08-28T20:48:16Z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0x0101004BC8A6C1CF658943B869236AB6767C52</vt:lpwstr>
  </property>
  <property fmtid="{D5CDD505-2E9C-101B-9397-08002B2CF9AE}" pid="3" name="MediaServiceImageTags">
    <vt:lpwstr/>
  </property>
</Properties>
</file>